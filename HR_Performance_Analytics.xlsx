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Collection\Data Analysis\Final Project Using Excel\"/>
    </mc:Choice>
  </mc:AlternateContent>
  <xr:revisionPtr revIDLastSave="0" documentId="13_ncr:1_{1AD0E51C-02C5-4F10-A3CE-B597F3130F54}" xr6:coauthVersionLast="47" xr6:coauthVersionMax="47" xr10:uidLastSave="{00000000-0000-0000-0000-000000000000}"/>
  <bookViews>
    <workbookView xWindow="-120" yWindow="-120" windowWidth="29040" windowHeight="15720" activeTab="3" xr2:uid="{AE24DF1A-E713-4A55-A240-FCD3DF40D0C3}"/>
  </bookViews>
  <sheets>
    <sheet name="All Dep" sheetId="12" r:id="rId1"/>
    <sheet name="Steps" sheetId="15" state="hidden" r:id="rId2"/>
    <sheet name="Report" sheetId="13" r:id="rId3"/>
    <sheet name="Dash" sheetId="14" r:id="rId4"/>
  </sheets>
  <definedNames>
    <definedName name="ExternalData_11" localSheetId="0" hidden="1">'All Dep'!$A$1:$P$201</definedName>
    <definedName name="Slicer_القسم">#N/A</definedName>
  </definedNames>
  <calcPr calcId="191029"/>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4AFA6E-8EF1-4B38-A91A-8F0E18B47952}" keepAlive="1" name="Query - All Dep" description="Connection to the 'All Dep' query in the workbook." type="5" refreshedVersion="8" background="1" saveData="1">
    <dbPr connection="Provider=Microsoft.Mashup.OleDb.1;Data Source=$Workbook$;Location=&quot;All Dep&quot;;Extended Properties=&quot;&quot;" command="SELECT * FROM [All Dep]"/>
  </connection>
  <connection id="2" xr16:uid="{56126327-8453-4041-A63D-07E8D55888EA}" keepAlive="1" name="Query - Finance" description="Connection to the 'Finance' query in the workbook." type="5" refreshedVersion="8" background="1" saveData="1">
    <dbPr connection="Provider=Microsoft.Mashup.OleDb.1;Data Source=$Workbook$;Location=Finance;Extended Properties=&quot;&quot;" command="SELECT * FROM [Finance]"/>
  </connection>
  <connection id="3" xr16:uid="{584F366A-AE71-4606-9EBC-7A0337B3396D}" keepAlive="1" name="Query - Finance5" description="Connection to the 'Finance5' query in the workbook." type="5" refreshedVersion="8" background="1" saveData="1">
    <dbPr connection="Provider=Microsoft.Mashup.OleDb.1;Data Source=$Workbook$;Location=Finance5;Extended Properties=&quot;&quot;" command="SELECT * FROM [Finance5]"/>
  </connection>
  <connection id="4" xr16:uid="{A8A0EAC2-BB51-4CDD-BD23-FEABF6D927FE}" keepAlive="1" name="Query - HR" description="Connection to the 'HR' query in the workbook." type="5" refreshedVersion="8" background="1" saveData="1">
    <dbPr connection="Provider=Microsoft.Mashup.OleDb.1;Data Source=$Workbook$;Location=HR;Extended Properties=&quot;&quot;" command="SELECT * FROM [HR]"/>
  </connection>
  <connection id="5" xr16:uid="{86C9F5EF-9E4F-4DA2-8FC1-2B19AE5ADEF1}" keepAlive="1" name="Query - HR4" description="Connection to the 'HR4' query in the workbook." type="5" refreshedVersion="8" background="1" saveData="1">
    <dbPr connection="Provider=Microsoft.Mashup.OleDb.1;Data Source=$Workbook$;Location=HR4;Extended Properties=&quot;&quot;" command="SELECT * FROM [HR4]"/>
  </connection>
  <connection id="6" xr16:uid="{1A372981-EDE6-46D2-99C7-9C5739F66829}" keepAlive="1" name="Query - IT" description="Connection to the 'IT' query in the workbook." type="5" refreshedVersion="8" background="1" saveData="1">
    <dbPr connection="Provider=Microsoft.Mashup.OleDb.1;Data Source=$Workbook$;Location=IT;Extended Properties=&quot;&quot;" command="SELECT * FROM [IT]"/>
  </connection>
  <connection id="7" xr16:uid="{89B6737D-171D-4093-BF99-2021157B3907}" keepAlive="1" name="Query - IT3" description="Connection to the 'IT3' query in the workbook." type="5" refreshedVersion="8" background="1" saveData="1">
    <dbPr connection="Provider=Microsoft.Mashup.OleDb.1;Data Source=$Workbook$;Location=IT3;Extended Properties=&quot;&quot;" command="SELECT * FROM [IT3]"/>
  </connection>
  <connection id="8" xr16:uid="{8C0CEC44-EE59-46A0-A727-91604A9F0E58}" keepAlive="1" name="Query - Marketing" description="Connection to the 'Marketing' query in the workbook." type="5" refreshedVersion="8" background="1" saveData="1">
    <dbPr connection="Provider=Microsoft.Mashup.OleDb.1;Data Source=$Workbook$;Location=Marketing;Extended Properties=&quot;&quot;" command="SELECT * FROM [Marketing]"/>
  </connection>
  <connection id="9" xr16:uid="{2C24FA9B-93E0-4DB5-804F-52CBBCE95E9D}" keepAlive="1" name="Query - Marketing2" description="Connection to the 'Marketing2' query in the workbook." type="5" refreshedVersion="8" background="1" saveData="1">
    <dbPr connection="Provider=Microsoft.Mashup.OleDb.1;Data Source=$Workbook$;Location=Marketing2;Extended Properties=&quot;&quot;" command="SELECT * FROM [Marketing2]"/>
  </connection>
  <connection id="10" xr16:uid="{C5FAA3C0-A7F3-4E78-BDE3-7A5E2C996FC0}"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11" xr16:uid="{D3ED313D-B99B-46A9-94E6-1955F17839BB}" keepAlive="1" name="Query - Sales1" description="Connection to the 'Sales1' query in the workbook." type="5" refreshedVersion="8" background="1" saveData="1">
    <dbPr connection="Provider=Microsoft.Mashup.OleDb.1;Data Source=$Workbook$;Location=Sales1;Extended Properties=&quot;&quot;" command="SELECT * FROM [Sales1]"/>
  </connection>
</connections>
</file>

<file path=xl/sharedStrings.xml><?xml version="1.0" encoding="utf-8"?>
<sst xmlns="http://schemas.openxmlformats.org/spreadsheetml/2006/main" count="1198" uniqueCount="113">
  <si>
    <t>المسلسل</t>
  </si>
  <si>
    <t>الرقم الوظيفي</t>
  </si>
  <si>
    <t>اسم الموظف</t>
  </si>
  <si>
    <t>الوظيفة</t>
  </si>
  <si>
    <t>القسم</t>
  </si>
  <si>
    <t>الموقع</t>
  </si>
  <si>
    <t>تاريخ التعيين</t>
  </si>
  <si>
    <t>تاريخ الميلاد</t>
  </si>
  <si>
    <t>المؤهل الدراسي</t>
  </si>
  <si>
    <t>الراتب</t>
  </si>
  <si>
    <t>PER 2019</t>
  </si>
  <si>
    <t>PER 2020</t>
  </si>
  <si>
    <t>علي محمد</t>
  </si>
  <si>
    <t>Financial Manager</t>
  </si>
  <si>
    <t>Finance</t>
  </si>
  <si>
    <t>القاهرة</t>
  </si>
  <si>
    <t>ماجستير</t>
  </si>
  <si>
    <t>خالد محمد</t>
  </si>
  <si>
    <t>Accountant</t>
  </si>
  <si>
    <t>بكالوريوس</t>
  </si>
  <si>
    <t>نسمة كامل</t>
  </si>
  <si>
    <t>طنطا</t>
  </si>
  <si>
    <t>تغريد يحيي</t>
  </si>
  <si>
    <t>حسن أحمد</t>
  </si>
  <si>
    <t>الاسكندرية</t>
  </si>
  <si>
    <t>مؤمن محمد</t>
  </si>
  <si>
    <t>حسين ياسر</t>
  </si>
  <si>
    <t>محمد علاء</t>
  </si>
  <si>
    <t>تامر خالد</t>
  </si>
  <si>
    <t>أحمد حسن</t>
  </si>
  <si>
    <t>HR Manager</t>
  </si>
  <si>
    <t>HR</t>
  </si>
  <si>
    <t>مهاب أسامة</t>
  </si>
  <si>
    <t>HR Specialist</t>
  </si>
  <si>
    <t>ايمان علي سلامة</t>
  </si>
  <si>
    <t>Recruitment Specialsit</t>
  </si>
  <si>
    <t>الاء أحمد</t>
  </si>
  <si>
    <t>HR Coordinator</t>
  </si>
  <si>
    <t>فادي نور</t>
  </si>
  <si>
    <t>نور يحيي</t>
  </si>
  <si>
    <t>هدي محمد</t>
  </si>
  <si>
    <t>أشرف أحمد</t>
  </si>
  <si>
    <t>يوسف أحمد</t>
  </si>
  <si>
    <t>أحمد فريد</t>
  </si>
  <si>
    <t>نورهان أحمد</t>
  </si>
  <si>
    <t>منه محمود</t>
  </si>
  <si>
    <t>يحيي هادي</t>
  </si>
  <si>
    <t>هالة عبد العال</t>
  </si>
  <si>
    <t>ندي إبراهيم</t>
  </si>
  <si>
    <t>عبد الرحمن محمد</t>
  </si>
  <si>
    <t>IT Manager</t>
  </si>
  <si>
    <t>IT</t>
  </si>
  <si>
    <t>كامل عصام</t>
  </si>
  <si>
    <t>Software developer</t>
  </si>
  <si>
    <t>اسراء عصام</t>
  </si>
  <si>
    <t>منه أحمد</t>
  </si>
  <si>
    <t>نغم محمد</t>
  </si>
  <si>
    <t>سارة احمد محمد</t>
  </si>
  <si>
    <t>Marketing Manager</t>
  </si>
  <si>
    <t>Marketing</t>
  </si>
  <si>
    <t>Digital marketing specialist</t>
  </si>
  <si>
    <t>Products Marketing Coordinator</t>
  </si>
  <si>
    <t>مي محمد ابراهيم</t>
  </si>
  <si>
    <t>محمد راضي</t>
  </si>
  <si>
    <t>مروة محمد عبدالله</t>
  </si>
  <si>
    <t>حازم أحمد</t>
  </si>
  <si>
    <t>مارك يوسف</t>
  </si>
  <si>
    <t>أحمد سمير</t>
  </si>
  <si>
    <t>Sales Manager</t>
  </si>
  <si>
    <t>Sales</t>
  </si>
  <si>
    <t>Sales rep.</t>
  </si>
  <si>
    <t>دبلوم</t>
  </si>
  <si>
    <t>هند بهاء</t>
  </si>
  <si>
    <t>محمد أحمد</t>
  </si>
  <si>
    <t>AGE BY YEARS</t>
  </si>
  <si>
    <t>Experience By Years</t>
  </si>
  <si>
    <t>Total PER Average</t>
  </si>
  <si>
    <t>Delta</t>
  </si>
  <si>
    <t>Grand Total</t>
  </si>
  <si>
    <t>Average of PER 2019</t>
  </si>
  <si>
    <t>متوسط أداء الموظفين في 2019</t>
  </si>
  <si>
    <t>متوسط أداء الموظفين في 2020</t>
  </si>
  <si>
    <t>Average of PER 2020</t>
  </si>
  <si>
    <t xml:space="preserve">متوسط تغير الأداء لكل موقع  </t>
  </si>
  <si>
    <t>Average of Delta</t>
  </si>
  <si>
    <t>Sum of الراتب</t>
  </si>
  <si>
    <t>Max of الراتب</t>
  </si>
  <si>
    <t>Min of الراتب</t>
  </si>
  <si>
    <t>Average of الراتب</t>
  </si>
  <si>
    <t>أجمالي المرتبات لكل موقع</t>
  </si>
  <si>
    <t>Count of اسم الموظف</t>
  </si>
  <si>
    <t>عددالموظفين لكل موقع</t>
  </si>
  <si>
    <t>أجمالي المرتبات لكل وظيفه في كل موقع</t>
  </si>
  <si>
    <t>عدد الموظفين لكل وظيفه في كل موقع</t>
  </si>
  <si>
    <t>مقارنة المؤهل الدراسي بعددالموظفين لكل موقع</t>
  </si>
  <si>
    <t>Row Labels</t>
  </si>
  <si>
    <t>Average of AGE BY YEARS</t>
  </si>
  <si>
    <t>Average of Experience By Years</t>
  </si>
  <si>
    <t>Column Labels</t>
  </si>
  <si>
    <t>المرتبات لكل موقع</t>
  </si>
  <si>
    <t>Data ETL &amp; Consolidation (Power Query)</t>
  </si>
  <si>
    <r>
      <t>Multi-Source Integration:</t>
    </r>
    <r>
      <rPr>
        <sz val="11"/>
        <color theme="1"/>
        <rFont val="Calibri"/>
        <family val="2"/>
        <scheme val="minor"/>
      </rPr>
      <t xml:space="preserve"> Appended all individual data taps via Power Query to create a single, dynamic "Master Table" that supports automatic refreshes.</t>
    </r>
  </si>
  <si>
    <r>
      <t>Data Cleaning &amp; Type Detection:</t>
    </r>
    <r>
      <rPr>
        <sz val="11"/>
        <color theme="1"/>
        <rFont val="Calibri"/>
        <family val="2"/>
        <scheme val="minor"/>
      </rPr>
      <t xml:space="preserve"> Performed a rigorous data audit to correct types (Dates, Percentages) and resolved naming inconsistencies across different branch locations (Cairo vs. Alexandria).</t>
    </r>
  </si>
  <si>
    <r>
      <t>Null Management:</t>
    </r>
    <r>
      <rPr>
        <sz val="11"/>
        <color theme="1"/>
        <rFont val="Calibri"/>
        <family val="2"/>
        <scheme val="minor"/>
      </rPr>
      <t xml:space="preserve"> Applied "Fill Down" logic to resolve missing structural data in the Department categories, ensuring 100% data integrity for pivot analysis.</t>
    </r>
  </si>
  <si>
    <t>2. KPI Development &amp; Logic Design</t>
  </si>
  <si>
    <r>
      <t>Tenure Tracking:</t>
    </r>
    <r>
      <rPr>
        <sz val="11"/>
        <color theme="1"/>
        <rFont val="Calibri"/>
        <family val="2"/>
        <scheme val="minor"/>
      </rPr>
      <t xml:space="preserve"> Developed custom columns to calculate Employee Age and Experience periods using precise date-diff logic.</t>
    </r>
  </si>
  <si>
    <r>
      <t>Performance Benchmarking:</t>
    </r>
    <r>
      <rPr>
        <sz val="11"/>
        <color theme="1"/>
        <rFont val="Calibri"/>
        <family val="2"/>
        <scheme val="minor"/>
      </rPr>
      <t xml:space="preserve"> Created a "Total Avg %" column by aggregating multiple performance metrics to establish a baseline for employee success.</t>
    </r>
  </si>
  <si>
    <r>
      <t>Growth Analytics:</t>
    </r>
    <r>
      <rPr>
        <sz val="11"/>
        <color theme="1"/>
        <rFont val="Calibri"/>
        <family val="2"/>
        <scheme val="minor"/>
      </rPr>
      <t xml:space="preserve"> Engineered a "Performance Delta" column to calculate year-over-year growth, transforming raw scores into a measurable trend (%) for management.</t>
    </r>
  </si>
  <si>
    <t>3. Executive Dashboard Implementation</t>
  </si>
  <si>
    <r>
      <t>Visual Storytelling:</t>
    </r>
    <r>
      <rPr>
        <sz val="11"/>
        <color theme="1"/>
        <rFont val="Calibri"/>
        <family val="2"/>
        <scheme val="minor"/>
      </rPr>
      <t xml:space="preserve"> Designed a unified UI using a professional Navy &amp; Grey palette to focus attention on key performance drivers.</t>
    </r>
  </si>
  <si>
    <r>
      <t>Interactive Controls:</t>
    </r>
    <r>
      <rPr>
        <sz val="11"/>
        <color theme="1"/>
        <rFont val="Calibri"/>
        <family val="2"/>
        <scheme val="minor"/>
      </rPr>
      <t xml:space="preserve"> Integrated dynamic slicers for deep-dive analysis by Department.</t>
    </r>
  </si>
  <si>
    <r>
      <t>Actionable Insights:</t>
    </r>
    <r>
      <rPr>
        <sz val="11"/>
        <color theme="1"/>
        <rFont val="Calibri"/>
        <family val="2"/>
        <scheme val="minor"/>
      </rPr>
      <t xml:space="preserve"> Added a strategic "Conclusions &amp; Recommendations" layer to translate visual trends into business-ready decisions.</t>
    </r>
  </si>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</sst>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9" fontId="0" fillId="0" borderId="0" xfId="0" applyNumberFormat="1"/>
    <xf numFmtId="0" fontId="2" fillId="0" borderId="0" xfId="0" pivotButton="1" applyFont="1"/>
    <xf numFmtId="0" fontId="0" fillId="0" borderId="0" xfId="0" applyAlignment="1">
      <alignment horizontal="left" indent="1"/>
    </xf>
    <xf numFmtId="2" fontId="0" fillId="0" borderId="0" xfId="0" applyNumberFormat="1"/>
    <xf numFmtId="0" fontId="0" fillId="0" borderId="0" xfId="1" applyNumberFormat="1" applyFont="1"/>
    <xf numFmtId="0" fontId="3" fillId="2" borderId="0" xfId="0" applyFont="1" applyFill="1"/>
    <xf numFmtId="0" fontId="0" fillId="2" borderId="0" xfId="0" applyFill="1"/>
    <xf numFmtId="0" fontId="0" fillId="0" borderId="0" xfId="0" applyAlignment="1">
      <alignment horizontal="left" vertical="center" indent="1"/>
    </xf>
    <xf numFmtId="0" fontId="2" fillId="0" borderId="0" xfId="0" applyFont="1" applyAlignment="1">
      <alignment horizontal="left" vertical="center" indent="1"/>
    </xf>
    <xf numFmtId="0" fontId="4" fillId="0" borderId="0" xfId="0" applyFont="1" applyAlignment="1">
      <alignment vertical="center"/>
    </xf>
  </cellXfs>
  <cellStyles count="2">
    <cellStyle name="Normal" xfId="0" builtinId="0"/>
    <cellStyle name="Percent" xfId="1" builtinId="5"/>
  </cellStyles>
  <dxfs count="46">
    <dxf>
      <numFmt numFmtId="0" formatCode="General"/>
    </dxf>
    <dxf>
      <numFmt numFmtId="13" formatCode="0%"/>
    </dxf>
    <dxf>
      <numFmt numFmtId="13" formatCode="0%"/>
    </dxf>
    <dxf>
      <numFmt numFmtId="13" formatCode="0%"/>
    </dxf>
    <dxf>
      <numFmt numFmtId="2" formatCode="0.00"/>
    </dxf>
    <dxf>
      <numFmt numFmtId="0" formatCode="General"/>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b/>
      </font>
    </dxf>
    <dxf>
      <numFmt numFmtId="0" formatCode="General"/>
    </dxf>
    <dxf>
      <numFmt numFmtId="13" formatCode="0%"/>
    </dxf>
    <dxf>
      <numFmt numFmtId="13" formatCode="0%"/>
    </dxf>
    <dxf>
      <numFmt numFmtId="13" formatCode="0%"/>
    </dxf>
    <dxf>
      <numFmt numFmtId="2" formatCode="0.00"/>
    </dxf>
    <dxf>
      <font>
        <b/>
      </font>
    </dxf>
    <dxf>
      <numFmt numFmtId="0" formatCode="General"/>
    </dxf>
    <dxf>
      <numFmt numFmtId="13" formatCode="0%"/>
    </dxf>
    <dxf>
      <numFmt numFmtId="13" formatCode="0%"/>
    </dxf>
    <dxf>
      <numFmt numFmtId="13" formatCode="0%"/>
    </dxf>
    <dxf>
      <numFmt numFmtId="0" formatCode="General"/>
    </dxf>
    <dxf>
      <numFmt numFmtId="13" formatCode="0%"/>
    </dxf>
    <dxf>
      <numFmt numFmtId="13" formatCode="0%"/>
    </dxf>
    <dxf>
      <numFmt numFmtId="13" formatCode="0%"/>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2060"/>
      <color rgb="FFA6A6A6"/>
      <color rgb="FF4A86E8"/>
      <color rgb="FF2E75B6"/>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[HR_Performance_Analytics.xlsx]Report!أجمالي المرتبات لكل موقع</c:name>
    <c:fmtId val="3"/>
  </c:pivotSource>
  <c:chart>
    <c:title>
      <c:tx>
        <c:rich>
          <a:bodyPr rot="0" spcFirstLastPara="1" vertOverflow="ellipsis" vert="horz" wrap="square" anchor="ctr" anchorCtr="1"/>
          <a:lstStyle/>
          <a:p>
            <a:pPr algn="ctr" rtl="0">
              <a:defRPr lang="en-US" sz="1800" b="1" i="0" u="none" strike="noStrike" kern="1200" spc="0" baseline="0">
                <a:solidFill>
                  <a:schemeClr val="tx1"/>
                </a:solidFill>
                <a:effectLst/>
                <a:latin typeface="+mn-lt"/>
                <a:ea typeface="+mn-ea"/>
                <a:cs typeface="+mn-cs"/>
              </a:defRPr>
            </a:pPr>
            <a:r>
              <a:rPr lang="en-US" sz="1800" b="1" i="0" u="none" strike="noStrike" kern="1200" spc="0" baseline="0">
                <a:solidFill>
                  <a:schemeClr val="tx1"/>
                </a:solidFill>
                <a:effectLst/>
                <a:latin typeface="+mn-lt"/>
                <a:ea typeface="+mn-ea"/>
                <a:cs typeface="+mn-cs"/>
              </a:rPr>
              <a:t>Total Salaries</a:t>
            </a:r>
          </a:p>
        </c:rich>
      </c:tx>
      <c:layout>
        <c:manualLayout>
          <c:xMode val="edge"/>
          <c:yMode val="edge"/>
          <c:x val="0.40625577967137672"/>
          <c:y val="3.3359466430332579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tx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2060"/>
          </a:solidFill>
          <a:ln>
            <a:noFill/>
          </a:ln>
          <a:effectLst>
            <a:outerShdw blurRad="254000" sx="102000" sy="102000" algn="ctr" rotWithShape="0">
              <a:prstClr val="black">
                <a:alpha val="20000"/>
              </a:prstClr>
            </a:outerShdw>
          </a:effectLst>
        </c:spPr>
      </c:pivotFmt>
      <c:pivotFmt>
        <c:idx val="7"/>
        <c:spPr>
          <a:solidFill>
            <a:srgbClr val="4A86E8"/>
          </a:solidFill>
          <a:ln>
            <a:noFill/>
          </a:ln>
          <a:effectLst>
            <a:outerShdw blurRad="254000" sx="102000" sy="102000" algn="ctr" rotWithShape="0">
              <a:prstClr val="black">
                <a:alpha val="20000"/>
              </a:prstClr>
            </a:outerShdw>
          </a:effectLst>
        </c:spPr>
      </c:pivotFmt>
      <c:pivotFmt>
        <c:idx val="8"/>
        <c:spPr>
          <a:solidFill>
            <a:srgbClr val="A6A6A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0055537266141974"/>
          <c:y val="0.17406095274485375"/>
          <c:w val="0.45473574109043796"/>
          <c:h val="0.777235699797726"/>
        </c:manualLayout>
      </c:layout>
      <c:doughnutChart>
        <c:varyColors val="1"/>
        <c:ser>
          <c:idx val="0"/>
          <c:order val="0"/>
          <c:tx>
            <c:strRef>
              <c:f>Report!$F$8</c:f>
              <c:strCache>
                <c:ptCount val="1"/>
                <c:pt idx="0">
                  <c:v>Total</c:v>
                </c:pt>
              </c:strCache>
            </c:strRef>
          </c:tx>
          <c:dPt>
            <c:idx val="0"/>
            <c:bubble3D val="0"/>
            <c:spPr>
              <a:solidFill>
                <a:srgbClr val="002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A79-4590-B7BA-075DEE6EC5BF}"/>
              </c:ext>
            </c:extLst>
          </c:dPt>
          <c:dPt>
            <c:idx val="1"/>
            <c:bubble3D val="0"/>
            <c:spPr>
              <a:solidFill>
                <a:srgbClr val="4A86E8"/>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A79-4590-B7BA-075DEE6EC5BF}"/>
              </c:ext>
            </c:extLst>
          </c:dPt>
          <c:dPt>
            <c:idx val="2"/>
            <c:bubble3D val="0"/>
            <c:spPr>
              <a:solidFill>
                <a:srgbClr val="A6A6A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A79-4590-B7BA-075DEE6EC5BF}"/>
              </c:ext>
            </c:extLst>
          </c:dPt>
          <c:dLbls>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Report!$E$9:$E$12</c:f>
              <c:strCache>
                <c:ptCount val="3"/>
                <c:pt idx="0">
                  <c:v>الاسكندرية</c:v>
                </c:pt>
                <c:pt idx="1">
                  <c:v>القاهرة</c:v>
                </c:pt>
                <c:pt idx="2">
                  <c:v>طنطا</c:v>
                </c:pt>
              </c:strCache>
            </c:strRef>
          </c:cat>
          <c:val>
            <c:numRef>
              <c:f>Report!$F$9:$F$12</c:f>
              <c:numCache>
                <c:formatCode>General</c:formatCode>
                <c:ptCount val="3"/>
                <c:pt idx="0">
                  <c:v>1229988</c:v>
                </c:pt>
                <c:pt idx="1">
                  <c:v>971280</c:v>
                </c:pt>
                <c:pt idx="2">
                  <c:v>433056</c:v>
                </c:pt>
              </c:numCache>
            </c:numRef>
          </c:val>
          <c:extLst>
            <c:ext xmlns:c16="http://schemas.microsoft.com/office/drawing/2014/chart" uri="{C3380CC4-5D6E-409C-BE32-E72D297353CC}">
              <c16:uniqueId val="{00000006-8A79-4590-B7BA-075DEE6EC5B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2.7923525865612499E-2"/>
          <c:y val="0.36723113937680868"/>
          <c:w val="0.11850245052135308"/>
          <c:h val="0.3321997610875563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[HR_Performance_Analytics.xlsx]Report!متوسط تغير الأداء لكل موقع  </c:name>
    <c:fmtId val="4"/>
  </c:pivotSource>
  <c:chart>
    <c:title>
      <c:tx>
        <c:rich>
          <a:bodyPr rot="0" spcFirstLastPara="1" vertOverflow="ellipsis" vert="horz" wrap="square" anchor="ctr" anchorCtr="1"/>
          <a:lstStyle/>
          <a:p>
            <a:pPr algn="ctr" rtl="0">
              <a:defRPr lang="en-US" sz="1800" b="1" i="0" u="none" strike="noStrike" kern="1200" spc="0" baseline="0">
                <a:solidFill>
                  <a:schemeClr val="tx1"/>
                </a:solidFill>
                <a:effectLst/>
                <a:latin typeface="+mn-lt"/>
                <a:ea typeface="+mn-ea"/>
                <a:cs typeface="+mn-cs"/>
              </a:defRPr>
            </a:pPr>
            <a:r>
              <a:rPr lang="en-US" sz="1800" b="1" i="0" u="none" strike="noStrike" kern="1200" spc="0" baseline="0">
                <a:solidFill>
                  <a:schemeClr val="tx1"/>
                </a:solidFill>
                <a:effectLst/>
                <a:latin typeface="+mn-lt"/>
                <a:ea typeface="+mn-ea"/>
                <a:cs typeface="+mn-cs"/>
              </a:rPr>
              <a:t>Performance Growth</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tx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pivotFmt>
      <c:pivotFmt>
        <c:idx val="4"/>
        <c:spPr>
          <a:solidFill>
            <a:srgbClr val="002060"/>
          </a:solidFill>
          <a:ln>
            <a:noFill/>
          </a:ln>
          <a:effectLst/>
          <a:sp3d/>
        </c:spPr>
      </c:pivotFmt>
      <c:pivotFmt>
        <c:idx val="5"/>
        <c:spPr>
          <a:solidFill>
            <a:srgbClr val="002060"/>
          </a:solidFill>
          <a:ln>
            <a:noFill/>
          </a:ln>
          <a:effectLst/>
          <a:sp3d/>
        </c:spPr>
      </c:pivotFmt>
    </c:pivotFmts>
    <c:plotArea>
      <c:layout/>
      <c:barChart>
        <c:barDir val="col"/>
        <c:grouping val="clustered"/>
        <c:varyColors val="0"/>
        <c:ser>
          <c:idx val="0"/>
          <c:order val="0"/>
          <c:tx>
            <c:strRef>
              <c:f>Report!$F$1</c:f>
              <c:strCache>
                <c:ptCount val="1"/>
                <c:pt idx="0">
                  <c:v>Total</c:v>
                </c:pt>
              </c:strCache>
            </c:strRef>
          </c:tx>
          <c:spPr>
            <a:solidFill>
              <a:srgbClr val="002060"/>
            </a:solidFill>
            <a:ln>
              <a:noFill/>
            </a:ln>
            <a:effectLst/>
          </c:spPr>
          <c:invertIfNegative val="0"/>
          <c:dPt>
            <c:idx val="0"/>
            <c:invertIfNegative val="0"/>
            <c:bubble3D val="0"/>
            <c:spPr>
              <a:solidFill>
                <a:srgbClr val="002060"/>
              </a:solidFill>
              <a:ln>
                <a:noFill/>
              </a:ln>
              <a:effectLst/>
              <a:sp3d/>
            </c:spPr>
            <c:extLst>
              <c:ext xmlns:c16="http://schemas.microsoft.com/office/drawing/2014/chart" uri="{C3380CC4-5D6E-409C-BE32-E72D297353CC}">
                <c16:uniqueId val="{00000002-8A3B-43E8-8943-4F7108BD4263}"/>
              </c:ext>
            </c:extLst>
          </c:dPt>
          <c:dPt>
            <c:idx val="1"/>
            <c:invertIfNegative val="0"/>
            <c:bubble3D val="0"/>
            <c:spPr>
              <a:solidFill>
                <a:srgbClr val="002060"/>
              </a:solidFill>
              <a:ln>
                <a:noFill/>
              </a:ln>
              <a:effectLst/>
              <a:sp3d/>
            </c:spPr>
            <c:extLst>
              <c:ext xmlns:c16="http://schemas.microsoft.com/office/drawing/2014/chart" uri="{C3380CC4-5D6E-409C-BE32-E72D297353CC}">
                <c16:uniqueId val="{00000001-8A3B-43E8-8943-4F7108BD4263}"/>
              </c:ext>
            </c:extLst>
          </c:dPt>
          <c:dPt>
            <c:idx val="2"/>
            <c:invertIfNegative val="0"/>
            <c:bubble3D val="0"/>
            <c:spPr>
              <a:solidFill>
                <a:srgbClr val="002060"/>
              </a:solidFill>
              <a:ln>
                <a:noFill/>
              </a:ln>
              <a:effectLst/>
              <a:sp3d/>
            </c:spPr>
            <c:extLst>
              <c:ext xmlns:c16="http://schemas.microsoft.com/office/drawing/2014/chart" uri="{C3380CC4-5D6E-409C-BE32-E72D297353CC}">
                <c16:uniqueId val="{00000000-8A3B-43E8-8943-4F7108BD426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Report!$E$2:$E$5</c:f>
              <c:strCache>
                <c:ptCount val="3"/>
                <c:pt idx="0">
                  <c:v>الاسكندرية</c:v>
                </c:pt>
                <c:pt idx="1">
                  <c:v>طنطا</c:v>
                </c:pt>
                <c:pt idx="2">
                  <c:v>القاهرة</c:v>
                </c:pt>
              </c:strCache>
            </c:strRef>
          </c:cat>
          <c:val>
            <c:numRef>
              <c:f>Report!$F$2:$F$5</c:f>
              <c:numCache>
                <c:formatCode>0%</c:formatCode>
                <c:ptCount val="3"/>
                <c:pt idx="0">
                  <c:v>0.15956521739130433</c:v>
                </c:pt>
                <c:pt idx="1">
                  <c:v>8.7777777777777788E-2</c:v>
                </c:pt>
                <c:pt idx="2">
                  <c:v>4.7222222222222242E-2</c:v>
                </c:pt>
              </c:numCache>
            </c:numRef>
          </c:val>
          <c:extLst>
            <c:ext xmlns:c16="http://schemas.microsoft.com/office/drawing/2014/chart" uri="{C3380CC4-5D6E-409C-BE32-E72D297353CC}">
              <c16:uniqueId val="{00000000-0A15-436F-8655-BC1ECD2E8FE7}"/>
            </c:ext>
          </c:extLst>
        </c:ser>
        <c:dLbls>
          <c:showLegendKey val="0"/>
          <c:showVal val="1"/>
          <c:showCatName val="0"/>
          <c:showSerName val="0"/>
          <c:showPercent val="0"/>
          <c:showBubbleSize val="0"/>
        </c:dLbls>
        <c:gapWidth val="150"/>
        <c:axId val="837539231"/>
        <c:axId val="837547551"/>
      </c:barChart>
      <c:catAx>
        <c:axId val="8375392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crossAx val="837547551"/>
        <c:crosses val="autoZero"/>
        <c:auto val="1"/>
        <c:lblAlgn val="ctr"/>
        <c:lblOffset val="100"/>
        <c:noMultiLvlLbl val="0"/>
      </c:catAx>
      <c:valAx>
        <c:axId val="83754755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crossAx val="83753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[HR_Performance_Analytics.xlsx]Report!مقارنة المؤهل الدراسي بعددالموظفين لكل موقع</c:name>
    <c:fmtId val="6"/>
  </c:pivotSource>
  <c:chart>
    <c:title>
      <c:tx>
        <c:rich>
          <a:bodyPr rot="0" spcFirstLastPara="1" vertOverflow="ellipsis" vert="horz" wrap="square" anchor="ctr" anchorCtr="1"/>
          <a:lstStyle/>
          <a:p>
            <a:pPr algn="ctr" rtl="0">
              <a:defRPr lang="ar-EG" sz="1800" b="1" i="0" u="none" strike="noStrike" kern="1200" spc="0" baseline="0">
                <a:solidFill>
                  <a:schemeClr val="tx1"/>
                </a:solidFill>
                <a:effectLst/>
                <a:latin typeface="+mn-lt"/>
                <a:ea typeface="+mn-ea"/>
                <a:cs typeface="+mn-cs"/>
              </a:defRPr>
            </a:pPr>
            <a:r>
              <a:rPr lang="ar-EG" sz="1800" b="1" i="0" u="none" strike="noStrike" kern="1200" spc="0" baseline="0">
                <a:solidFill>
                  <a:schemeClr val="tx1"/>
                </a:solidFill>
                <a:effectLst/>
                <a:latin typeface="+mn-lt"/>
                <a:ea typeface="+mn-ea"/>
                <a:cs typeface="+mn-cs"/>
              </a:rPr>
              <a:t> مقارنة المؤهلات</a:t>
            </a:r>
          </a:p>
        </c:rich>
      </c:tx>
      <c:overlay val="0"/>
      <c:spPr>
        <a:noFill/>
        <a:ln>
          <a:noFill/>
        </a:ln>
        <a:effectLst/>
      </c:spPr>
      <c:txPr>
        <a:bodyPr rot="0" spcFirstLastPara="1" vertOverflow="ellipsis" vert="horz" wrap="square" anchor="ctr" anchorCtr="1"/>
        <a:lstStyle/>
        <a:p>
          <a:pPr algn="ctr" rtl="0">
            <a:defRPr lang="ar-EG" sz="1800" b="1" i="0" u="none" strike="noStrike" kern="1200" spc="0" baseline="0">
              <a:solidFill>
                <a:schemeClr val="tx1"/>
              </a:solidFill>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2060"/>
            </a:solidFill>
            <a:round/>
          </a:ln>
          <a:effectLst/>
        </c:spPr>
        <c:marker>
          <c:symbol val="circle"/>
          <c:size val="5"/>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4A86E8"/>
            </a:solidFill>
            <a:round/>
          </a:ln>
          <a:effectLst/>
        </c:spPr>
        <c:marker>
          <c:symbol val="circle"/>
          <c:size val="5"/>
          <c:spPr>
            <a:solidFill>
              <a:srgbClr val="4A86E8"/>
            </a:solidFill>
            <a:ln w="9525">
              <a:solidFill>
                <a:srgbClr val="4A86E8"/>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bg1">
                <a:lumMod val="50000"/>
              </a:schemeClr>
            </a:solidFill>
            <a:round/>
          </a:ln>
          <a:effectLst/>
        </c:spPr>
        <c:marker>
          <c:symbol val="circle"/>
          <c:size val="5"/>
          <c:spPr>
            <a:solidFill>
              <a:schemeClr val="accent3"/>
            </a:solidFill>
            <a:ln w="9525">
              <a:solidFill>
                <a:schemeClr val="bg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bg1">
                <a:lumMod val="50000"/>
              </a:schemeClr>
            </a:solidFill>
            <a:round/>
          </a:ln>
          <a:effectLst/>
        </c:spPr>
        <c:marker>
          <c:symbol val="circle"/>
          <c:size val="5"/>
          <c:spPr>
            <a:solidFill>
              <a:schemeClr val="accent3"/>
            </a:solidFill>
            <a:ln w="9525">
              <a:solidFill>
                <a:schemeClr val="bg1">
                  <a:lumMod val="50000"/>
                </a:schemeClr>
              </a:solidFill>
            </a:ln>
            <a:effectLst/>
          </c:spPr>
        </c:marker>
        <c:dLbl>
          <c:idx val="0"/>
          <c:layout>
            <c:manualLayout>
              <c:x val="-1.5146750524109111E-2"/>
              <c:y val="2.4516917356484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Report!$F$21:$F$22</c:f>
              <c:strCache>
                <c:ptCount val="1"/>
                <c:pt idx="0">
                  <c:v>بكالوريوس</c:v>
                </c:pt>
              </c:strCache>
            </c:strRef>
          </c:tx>
          <c:spPr>
            <a:ln w="28575" cap="rnd">
              <a:solidFill>
                <a:srgbClr val="002060"/>
              </a:solidFill>
              <a:round/>
            </a:ln>
            <a:effectLst/>
          </c:spPr>
          <c:marker>
            <c:symbol val="circle"/>
            <c:size val="5"/>
            <c:spPr>
              <a:solidFill>
                <a:srgbClr val="00206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Report!$E$23:$E$26</c:f>
              <c:strCache>
                <c:ptCount val="3"/>
                <c:pt idx="0">
                  <c:v>الاسكندرية</c:v>
                </c:pt>
                <c:pt idx="1">
                  <c:v>القاهرة</c:v>
                </c:pt>
                <c:pt idx="2">
                  <c:v>طنطا</c:v>
                </c:pt>
              </c:strCache>
            </c:strRef>
          </c:cat>
          <c:val>
            <c:numRef>
              <c:f>Report!$F$23:$F$26</c:f>
              <c:numCache>
                <c:formatCode>General</c:formatCode>
                <c:ptCount val="3"/>
                <c:pt idx="0">
                  <c:v>54</c:v>
                </c:pt>
                <c:pt idx="1">
                  <c:v>42</c:v>
                </c:pt>
                <c:pt idx="2">
                  <c:v>24</c:v>
                </c:pt>
              </c:numCache>
            </c:numRef>
          </c:val>
          <c:smooth val="0"/>
          <c:extLst>
            <c:ext xmlns:c16="http://schemas.microsoft.com/office/drawing/2014/chart" uri="{C3380CC4-5D6E-409C-BE32-E72D297353CC}">
              <c16:uniqueId val="{00000000-BE58-43FC-9243-602338BFE3BB}"/>
            </c:ext>
          </c:extLst>
        </c:ser>
        <c:ser>
          <c:idx val="1"/>
          <c:order val="1"/>
          <c:tx>
            <c:strRef>
              <c:f>Report!$G$21:$G$22</c:f>
              <c:strCache>
                <c:ptCount val="1"/>
                <c:pt idx="0">
                  <c:v>دبلوم</c:v>
                </c:pt>
              </c:strCache>
            </c:strRef>
          </c:tx>
          <c:spPr>
            <a:ln w="28575" cap="rnd">
              <a:solidFill>
                <a:srgbClr val="4A86E8"/>
              </a:solidFill>
              <a:round/>
            </a:ln>
            <a:effectLst/>
          </c:spPr>
          <c:marker>
            <c:symbol val="circle"/>
            <c:size val="5"/>
            <c:spPr>
              <a:solidFill>
                <a:srgbClr val="4A86E8"/>
              </a:solidFill>
              <a:ln w="9525">
                <a:solidFill>
                  <a:srgbClr val="4A86E8"/>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Report!$E$23:$E$26</c:f>
              <c:strCache>
                <c:ptCount val="3"/>
                <c:pt idx="0">
                  <c:v>الاسكندرية</c:v>
                </c:pt>
                <c:pt idx="1">
                  <c:v>القاهرة</c:v>
                </c:pt>
                <c:pt idx="2">
                  <c:v>طنطا</c:v>
                </c:pt>
              </c:strCache>
            </c:strRef>
          </c:cat>
          <c:val>
            <c:numRef>
              <c:f>Report!$G$23:$G$26</c:f>
              <c:numCache>
                <c:formatCode>General</c:formatCode>
                <c:ptCount val="3"/>
                <c:pt idx="0">
                  <c:v>36</c:v>
                </c:pt>
                <c:pt idx="1">
                  <c:v>28</c:v>
                </c:pt>
                <c:pt idx="2">
                  <c:v>8</c:v>
                </c:pt>
              </c:numCache>
            </c:numRef>
          </c:val>
          <c:smooth val="0"/>
          <c:extLst>
            <c:ext xmlns:c16="http://schemas.microsoft.com/office/drawing/2014/chart" uri="{C3380CC4-5D6E-409C-BE32-E72D297353CC}">
              <c16:uniqueId val="{00000001-4094-4D8D-8FAD-C61C1ECAC9A8}"/>
            </c:ext>
          </c:extLst>
        </c:ser>
        <c:ser>
          <c:idx val="2"/>
          <c:order val="2"/>
          <c:tx>
            <c:strRef>
              <c:f>Report!$H$21:$H$22</c:f>
              <c:strCache>
                <c:ptCount val="1"/>
                <c:pt idx="0">
                  <c:v>ماجستير</c:v>
                </c:pt>
              </c:strCache>
            </c:strRef>
          </c:tx>
          <c:spPr>
            <a:ln w="28575" cap="rnd">
              <a:solidFill>
                <a:schemeClr val="bg1">
                  <a:lumMod val="50000"/>
                </a:schemeClr>
              </a:solidFill>
              <a:round/>
            </a:ln>
            <a:effectLst/>
          </c:spPr>
          <c:marker>
            <c:symbol val="circle"/>
            <c:size val="5"/>
            <c:spPr>
              <a:solidFill>
                <a:schemeClr val="accent3"/>
              </a:solidFill>
              <a:ln w="9525">
                <a:solidFill>
                  <a:schemeClr val="bg1">
                    <a:lumMod val="50000"/>
                  </a:schemeClr>
                </a:solidFill>
              </a:ln>
              <a:effectLst/>
            </c:spPr>
          </c:marker>
          <c:dPt>
            <c:idx val="2"/>
            <c:marker>
              <c:symbol val="circle"/>
              <c:size val="5"/>
              <c:spPr>
                <a:solidFill>
                  <a:schemeClr val="accent3"/>
                </a:solidFill>
                <a:ln w="9525">
                  <a:solidFill>
                    <a:schemeClr val="bg1">
                      <a:lumMod val="50000"/>
                    </a:schemeClr>
                  </a:solidFill>
                </a:ln>
                <a:effectLst/>
              </c:spPr>
            </c:marker>
            <c:bubble3D val="0"/>
            <c:extLst>
              <c:ext xmlns:c16="http://schemas.microsoft.com/office/drawing/2014/chart" uri="{C3380CC4-5D6E-409C-BE32-E72D297353CC}">
                <c16:uniqueId val="{00000000-C004-48F7-B445-D2FA854F2E59}"/>
              </c:ext>
            </c:extLst>
          </c:dPt>
          <c:dLbls>
            <c:dLbl>
              <c:idx val="2"/>
              <c:layout>
                <c:manualLayout>
                  <c:x val="-1.5146750524109111E-2"/>
                  <c:y val="2.45169173564841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04-48F7-B445-D2FA854F2E5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Report!$E$23:$E$26</c:f>
              <c:strCache>
                <c:ptCount val="3"/>
                <c:pt idx="0">
                  <c:v>الاسكندرية</c:v>
                </c:pt>
                <c:pt idx="1">
                  <c:v>القاهرة</c:v>
                </c:pt>
                <c:pt idx="2">
                  <c:v>طنطا</c:v>
                </c:pt>
              </c:strCache>
            </c:strRef>
          </c:cat>
          <c:val>
            <c:numRef>
              <c:f>Report!$H$23:$H$26</c:f>
              <c:numCache>
                <c:formatCode>General</c:formatCode>
                <c:ptCount val="3"/>
                <c:pt idx="0">
                  <c:v>2</c:v>
                </c:pt>
                <c:pt idx="1">
                  <c:v>2</c:v>
                </c:pt>
                <c:pt idx="2">
                  <c:v>4</c:v>
                </c:pt>
              </c:numCache>
            </c:numRef>
          </c:val>
          <c:smooth val="0"/>
          <c:extLst>
            <c:ext xmlns:c16="http://schemas.microsoft.com/office/drawing/2014/chart" uri="{C3380CC4-5D6E-409C-BE32-E72D297353CC}">
              <c16:uniqueId val="{00000002-4094-4D8D-8FAD-C61C1ECAC9A8}"/>
            </c:ext>
          </c:extLst>
        </c:ser>
        <c:dLbls>
          <c:dLblPos val="t"/>
          <c:showLegendKey val="0"/>
          <c:showVal val="1"/>
          <c:showCatName val="0"/>
          <c:showSerName val="0"/>
          <c:showPercent val="0"/>
          <c:showBubbleSize val="0"/>
        </c:dLbls>
        <c:marker val="1"/>
        <c:smooth val="0"/>
        <c:axId val="76658800"/>
        <c:axId val="76666288"/>
      </c:lineChart>
      <c:catAx>
        <c:axId val="7665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crossAx val="76666288"/>
        <c:crosses val="autoZero"/>
        <c:auto val="1"/>
        <c:lblAlgn val="ctr"/>
        <c:lblOffset val="100"/>
        <c:noMultiLvlLbl val="0"/>
      </c:catAx>
      <c:valAx>
        <c:axId val="76666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crossAx val="766588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[HR_Performance_Analytics.xlsx]Report!المرتبات لكل موقع</c:name>
    <c:fmtId val="6"/>
  </c:pivotSource>
  <c:chart>
    <c:title>
      <c:tx>
        <c:rich>
          <a:bodyPr rot="0" spcFirstLastPara="1" vertOverflow="ellipsis" vert="horz" wrap="square" anchor="ctr" anchorCtr="1"/>
          <a:lstStyle/>
          <a:p>
            <a:pPr algn="ctr" rtl="0">
              <a:defRPr lang="en-US" sz="1800" b="1" i="0" u="none" strike="noStrike" kern="1200" spc="0" baseline="0">
                <a:solidFill>
                  <a:schemeClr val="tx1"/>
                </a:solidFill>
                <a:effectLst/>
                <a:latin typeface="+mn-lt"/>
                <a:ea typeface="+mn-ea"/>
                <a:cs typeface="+mn-cs"/>
              </a:defRPr>
            </a:pPr>
            <a:r>
              <a:rPr lang="en-US" sz="1800" b="1" i="0" u="none" strike="noStrike" kern="1200" spc="0" baseline="0">
                <a:solidFill>
                  <a:schemeClr val="tx1"/>
                </a:solidFill>
                <a:effectLst/>
                <a:latin typeface="+mn-lt"/>
                <a:ea typeface="+mn-ea"/>
                <a:cs typeface="+mn-cs"/>
              </a:rPr>
              <a:t>Salaries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tx1"/>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6A6A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A86E8"/>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Report!$F$15</c:f>
              <c:strCache>
                <c:ptCount val="1"/>
                <c:pt idx="0">
                  <c:v>Max of الراتب</c:v>
                </c:pt>
              </c:strCache>
            </c:strRef>
          </c:tx>
          <c:spPr>
            <a:solidFill>
              <a:srgbClr val="00206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Report!$E$16:$E$19</c:f>
              <c:strCache>
                <c:ptCount val="3"/>
                <c:pt idx="0">
                  <c:v>الاسكندرية</c:v>
                </c:pt>
                <c:pt idx="1">
                  <c:v>القاهرة</c:v>
                </c:pt>
                <c:pt idx="2">
                  <c:v>طنطا</c:v>
                </c:pt>
              </c:strCache>
            </c:strRef>
          </c:cat>
          <c:val>
            <c:numRef>
              <c:f>Report!$F$16:$F$19</c:f>
              <c:numCache>
                <c:formatCode>General</c:formatCode>
                <c:ptCount val="3"/>
                <c:pt idx="0">
                  <c:v>24472</c:v>
                </c:pt>
                <c:pt idx="1">
                  <c:v>35000</c:v>
                </c:pt>
                <c:pt idx="2">
                  <c:v>25000</c:v>
                </c:pt>
              </c:numCache>
            </c:numRef>
          </c:val>
          <c:extLst>
            <c:ext xmlns:c16="http://schemas.microsoft.com/office/drawing/2014/chart" uri="{C3380CC4-5D6E-409C-BE32-E72D297353CC}">
              <c16:uniqueId val="{00000000-6E44-4697-86D4-39C2905EFEF6}"/>
            </c:ext>
          </c:extLst>
        </c:ser>
        <c:ser>
          <c:idx val="1"/>
          <c:order val="1"/>
          <c:tx>
            <c:strRef>
              <c:f>Report!$G$15</c:f>
              <c:strCache>
                <c:ptCount val="1"/>
                <c:pt idx="0">
                  <c:v>Min of الراتب</c:v>
                </c:pt>
              </c:strCache>
            </c:strRef>
          </c:tx>
          <c:spPr>
            <a:solidFill>
              <a:srgbClr val="A6A6A6"/>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Report!$E$16:$E$19</c:f>
              <c:strCache>
                <c:ptCount val="3"/>
                <c:pt idx="0">
                  <c:v>الاسكندرية</c:v>
                </c:pt>
                <c:pt idx="1">
                  <c:v>القاهرة</c:v>
                </c:pt>
                <c:pt idx="2">
                  <c:v>طنطا</c:v>
                </c:pt>
              </c:strCache>
            </c:strRef>
          </c:cat>
          <c:val>
            <c:numRef>
              <c:f>Report!$G$16:$G$19</c:f>
              <c:numCache>
                <c:formatCode>General</c:formatCode>
                <c:ptCount val="3"/>
                <c:pt idx="0">
                  <c:v>1428</c:v>
                </c:pt>
                <c:pt idx="1">
                  <c:v>1673</c:v>
                </c:pt>
                <c:pt idx="2">
                  <c:v>1952</c:v>
                </c:pt>
              </c:numCache>
            </c:numRef>
          </c:val>
          <c:extLst>
            <c:ext xmlns:c16="http://schemas.microsoft.com/office/drawing/2014/chart" uri="{C3380CC4-5D6E-409C-BE32-E72D297353CC}">
              <c16:uniqueId val="{00000001-6E44-4697-86D4-39C2905EFEF6}"/>
            </c:ext>
          </c:extLst>
        </c:ser>
        <c:ser>
          <c:idx val="2"/>
          <c:order val="2"/>
          <c:tx>
            <c:strRef>
              <c:f>Report!$H$15</c:f>
              <c:strCache>
                <c:ptCount val="1"/>
                <c:pt idx="0">
                  <c:v>Average of الراتب</c:v>
                </c:pt>
              </c:strCache>
            </c:strRef>
          </c:tx>
          <c:spPr>
            <a:solidFill>
              <a:srgbClr val="4A86E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Report!$E$16:$E$19</c:f>
              <c:strCache>
                <c:ptCount val="3"/>
                <c:pt idx="0">
                  <c:v>الاسكندرية</c:v>
                </c:pt>
                <c:pt idx="1">
                  <c:v>القاهرة</c:v>
                </c:pt>
                <c:pt idx="2">
                  <c:v>طنطا</c:v>
                </c:pt>
              </c:strCache>
            </c:strRef>
          </c:cat>
          <c:val>
            <c:numRef>
              <c:f>Report!$H$16:$H$19</c:f>
              <c:numCache>
                <c:formatCode>General</c:formatCode>
                <c:ptCount val="3"/>
                <c:pt idx="0">
                  <c:v>13369.434782608696</c:v>
                </c:pt>
                <c:pt idx="1">
                  <c:v>13490</c:v>
                </c:pt>
                <c:pt idx="2">
                  <c:v>12029.333333333334</c:v>
                </c:pt>
              </c:numCache>
            </c:numRef>
          </c:val>
          <c:extLst>
            <c:ext xmlns:c16="http://schemas.microsoft.com/office/drawing/2014/chart" uri="{C3380CC4-5D6E-409C-BE32-E72D297353CC}">
              <c16:uniqueId val="{00000002-6E44-4697-86D4-39C2905EFEF6}"/>
            </c:ext>
          </c:extLst>
        </c:ser>
        <c:dLbls>
          <c:dLblPos val="outEnd"/>
          <c:showLegendKey val="0"/>
          <c:showVal val="1"/>
          <c:showCatName val="0"/>
          <c:showSerName val="0"/>
          <c:showPercent val="0"/>
          <c:showBubbleSize val="0"/>
        </c:dLbls>
        <c:gapWidth val="219"/>
        <c:axId val="2139039856"/>
        <c:axId val="2139032784"/>
      </c:barChart>
      <c:catAx>
        <c:axId val="2139039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crossAx val="2139032784"/>
        <c:crosses val="autoZero"/>
        <c:auto val="1"/>
        <c:lblAlgn val="ctr"/>
        <c:lblOffset val="100"/>
        <c:noMultiLvlLbl val="0"/>
      </c:catAx>
      <c:valAx>
        <c:axId val="2139032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crossAx val="21390398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[HR_Performance_Analytics.xlsx]Report!متوسط الاعمار</c:name>
    <c:fmtId val="10"/>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800" b="1" i="0" baseline="0">
                <a:solidFill>
                  <a:schemeClr val="tx1"/>
                </a:solidFill>
                <a:effectLst/>
              </a:rPr>
              <a:t>Average Age</a:t>
            </a:r>
            <a:endParaRPr lang="en-US" sz="1400" b="1">
              <a:solidFill>
                <a:schemeClr val="tx1"/>
              </a:solidFill>
              <a:effectLst/>
            </a:endParaRP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4A86E8"/>
            </a:solidFill>
          </a:ln>
          <a:effectLst/>
          <a:sp3d>
            <a:contourClr>
              <a:srgbClr val="4A86E8"/>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Report!$J$8</c:f>
              <c:strCache>
                <c:ptCount val="1"/>
                <c:pt idx="0">
                  <c:v>Total</c:v>
                </c:pt>
              </c:strCache>
            </c:strRef>
          </c:tx>
          <c:spPr>
            <a:solidFill>
              <a:srgbClr val="002060"/>
            </a:solidFill>
            <a:ln>
              <a:solidFill>
                <a:srgbClr val="4A86E8"/>
              </a:solidFill>
            </a:ln>
            <a:effectLst/>
            <a:sp3d>
              <a:contourClr>
                <a:srgbClr val="4A86E8"/>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Report!$I$9:$I$12</c:f>
              <c:strCache>
                <c:ptCount val="3"/>
                <c:pt idx="0">
                  <c:v>الاسكندرية</c:v>
                </c:pt>
                <c:pt idx="1">
                  <c:v>القاهرة</c:v>
                </c:pt>
                <c:pt idx="2">
                  <c:v>طنطا</c:v>
                </c:pt>
              </c:strCache>
            </c:strRef>
          </c:cat>
          <c:val>
            <c:numRef>
              <c:f>Report!$J$9:$J$12</c:f>
              <c:numCache>
                <c:formatCode>0.00</c:formatCode>
                <c:ptCount val="3"/>
                <c:pt idx="0">
                  <c:v>51.369565217391305</c:v>
                </c:pt>
                <c:pt idx="1">
                  <c:v>50.666666666666664</c:v>
                </c:pt>
                <c:pt idx="2">
                  <c:v>49.722222222222221</c:v>
                </c:pt>
              </c:numCache>
            </c:numRef>
          </c:val>
          <c:extLst>
            <c:ext xmlns:c16="http://schemas.microsoft.com/office/drawing/2014/chart" uri="{C3380CC4-5D6E-409C-BE32-E72D297353CC}">
              <c16:uniqueId val="{00000000-F1D2-4C24-B668-B633173ACFEB}"/>
            </c:ext>
          </c:extLst>
        </c:ser>
        <c:dLbls>
          <c:showLegendKey val="0"/>
          <c:showVal val="1"/>
          <c:showCatName val="0"/>
          <c:showSerName val="0"/>
          <c:showPercent val="0"/>
          <c:showBubbleSize val="0"/>
        </c:dLbls>
        <c:gapWidth val="150"/>
        <c:axId val="139781952"/>
        <c:axId val="139801920"/>
      </c:barChart>
      <c:catAx>
        <c:axId val="139781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crossAx val="139801920"/>
        <c:crosses val="autoZero"/>
        <c:auto val="1"/>
        <c:lblAlgn val="ctr"/>
        <c:lblOffset val="100"/>
        <c:noMultiLvlLbl val="0"/>
      </c:catAx>
      <c:valAx>
        <c:axId val="1398019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crossAx val="13978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[HR_Performance_Analytics.xlsx]Report!PivotTable2</c:name>
    <c:fmtId val="3"/>
  </c:pivotSource>
  <c:chart>
    <c:title>
      <c:tx>
        <c:rich>
          <a:bodyPr rot="0" spcFirstLastPara="1" vertOverflow="ellipsis" vert="horz" wrap="square" anchor="ctr" anchorCtr="1"/>
          <a:lstStyle/>
          <a:p>
            <a:pPr algn="ctr" rtl="0">
              <a:defRPr lang="en-US" sz="1800" b="1" i="0" u="none" strike="noStrike" kern="1200" spc="0" baseline="0">
                <a:solidFill>
                  <a:schemeClr val="tx1"/>
                </a:solidFill>
                <a:effectLst/>
                <a:latin typeface="+mn-lt"/>
                <a:ea typeface="+mn-ea"/>
                <a:cs typeface="+mn-cs"/>
              </a:defRPr>
            </a:pPr>
            <a:r>
              <a:rPr lang="en-US" sz="1800" b="1" i="0" u="none" strike="noStrike" kern="1200" spc="0" baseline="0">
                <a:solidFill>
                  <a:schemeClr val="tx1"/>
                </a:solidFill>
                <a:effectLst/>
                <a:latin typeface="+mn-lt"/>
                <a:ea typeface="+mn-ea"/>
                <a:cs typeface="+mn-cs"/>
              </a:rPr>
              <a:t>Average Exp</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tx1"/>
              </a:solidFill>
              <a:effectLst/>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a:sp3d/>
        </c:spPr>
      </c:pivotFmt>
      <c:pivotFmt>
        <c:idx val="4"/>
        <c:spPr>
          <a:solidFill>
            <a:srgbClr val="002060"/>
          </a:solidFill>
          <a:ln>
            <a:noFill/>
          </a:ln>
          <a:effectLst/>
          <a:sp3d/>
        </c:spPr>
      </c:pivotFmt>
      <c:pivotFmt>
        <c:idx val="5"/>
        <c:spPr>
          <a:solidFill>
            <a:srgbClr val="002060"/>
          </a:solidFill>
          <a:ln>
            <a:noFill/>
          </a:ln>
          <a:effectLst/>
          <a:sp3d/>
        </c:spPr>
      </c:pivotFmt>
    </c:pivotFmts>
    <c:plotArea>
      <c:layout/>
      <c:barChart>
        <c:barDir val="col"/>
        <c:grouping val="clustered"/>
        <c:varyColors val="0"/>
        <c:ser>
          <c:idx val="0"/>
          <c:order val="0"/>
          <c:tx>
            <c:strRef>
              <c:f>Report!$J$15</c:f>
              <c:strCache>
                <c:ptCount val="1"/>
                <c:pt idx="0">
                  <c:v>Total</c:v>
                </c:pt>
              </c:strCache>
            </c:strRef>
          </c:tx>
          <c:spPr>
            <a:solidFill>
              <a:srgbClr val="002060"/>
            </a:solidFill>
            <a:ln>
              <a:noFill/>
            </a:ln>
            <a:effectLst/>
          </c:spPr>
          <c:invertIfNegative val="0"/>
          <c:dPt>
            <c:idx val="0"/>
            <c:invertIfNegative val="0"/>
            <c:bubble3D val="0"/>
            <c:spPr>
              <a:solidFill>
                <a:srgbClr val="002060"/>
              </a:solidFill>
              <a:ln>
                <a:noFill/>
              </a:ln>
              <a:effectLst/>
              <a:sp3d/>
            </c:spPr>
            <c:extLst>
              <c:ext xmlns:c16="http://schemas.microsoft.com/office/drawing/2014/chart" uri="{C3380CC4-5D6E-409C-BE32-E72D297353CC}">
                <c16:uniqueId val="{00000002-E51E-4384-8113-C0BE5A6F41EE}"/>
              </c:ext>
            </c:extLst>
          </c:dPt>
          <c:dPt>
            <c:idx val="1"/>
            <c:invertIfNegative val="0"/>
            <c:bubble3D val="0"/>
            <c:spPr>
              <a:solidFill>
                <a:srgbClr val="002060"/>
              </a:solidFill>
              <a:ln>
                <a:noFill/>
              </a:ln>
              <a:effectLst/>
              <a:sp3d/>
            </c:spPr>
            <c:extLst>
              <c:ext xmlns:c16="http://schemas.microsoft.com/office/drawing/2014/chart" uri="{C3380CC4-5D6E-409C-BE32-E72D297353CC}">
                <c16:uniqueId val="{00000001-E51E-4384-8113-C0BE5A6F41EE}"/>
              </c:ext>
            </c:extLst>
          </c:dPt>
          <c:dPt>
            <c:idx val="2"/>
            <c:invertIfNegative val="0"/>
            <c:bubble3D val="0"/>
            <c:spPr>
              <a:solidFill>
                <a:srgbClr val="002060"/>
              </a:solidFill>
              <a:ln>
                <a:noFill/>
              </a:ln>
              <a:effectLst/>
              <a:sp3d/>
            </c:spPr>
            <c:extLst>
              <c:ext xmlns:c16="http://schemas.microsoft.com/office/drawing/2014/chart" uri="{C3380CC4-5D6E-409C-BE32-E72D297353CC}">
                <c16:uniqueId val="{00000000-E51E-4384-8113-C0BE5A6F41E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Report!$I$16:$I$19</c:f>
              <c:strCache>
                <c:ptCount val="3"/>
                <c:pt idx="0">
                  <c:v>الاسكندرية</c:v>
                </c:pt>
                <c:pt idx="1">
                  <c:v>القاهرة</c:v>
                </c:pt>
                <c:pt idx="2">
                  <c:v>طنطا</c:v>
                </c:pt>
              </c:strCache>
            </c:strRef>
          </c:cat>
          <c:val>
            <c:numRef>
              <c:f>Report!$J$16:$J$19</c:f>
              <c:numCache>
                <c:formatCode>0.00</c:formatCode>
                <c:ptCount val="3"/>
                <c:pt idx="0">
                  <c:v>14.695652173913043</c:v>
                </c:pt>
                <c:pt idx="1">
                  <c:v>13.138888888888889</c:v>
                </c:pt>
                <c:pt idx="2">
                  <c:v>13.222222222222221</c:v>
                </c:pt>
              </c:numCache>
            </c:numRef>
          </c:val>
          <c:extLst>
            <c:ext xmlns:c16="http://schemas.microsoft.com/office/drawing/2014/chart" uri="{C3380CC4-5D6E-409C-BE32-E72D297353CC}">
              <c16:uniqueId val="{00000000-33F4-4C52-96F2-BC6F64E069B5}"/>
            </c:ext>
          </c:extLst>
        </c:ser>
        <c:dLbls>
          <c:showLegendKey val="0"/>
          <c:showVal val="1"/>
          <c:showCatName val="0"/>
          <c:showSerName val="0"/>
          <c:showPercent val="0"/>
          <c:showBubbleSize val="0"/>
        </c:dLbls>
        <c:gapWidth val="150"/>
        <c:axId val="139790688"/>
        <c:axId val="139784448"/>
      </c:barChart>
      <c:catAx>
        <c:axId val="139790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crossAx val="139784448"/>
        <c:crosses val="autoZero"/>
        <c:auto val="1"/>
        <c:lblAlgn val="ctr"/>
        <c:lblOffset val="100"/>
        <c:noMultiLvlLbl val="0"/>
      </c:catAx>
      <c:valAx>
        <c:axId val="139784448"/>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79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25</xdr:col>
      <xdr:colOff>560294</xdr:colOff>
      <xdr:row>4</xdr:row>
      <xdr:rowOff>67235</xdr:rowOff>
    </xdr:to>
    <xdr:sp macro="" textlink="">
      <xdr:nvSpPr>
        <xdr:cNvPr id="2" name="Rectangle 1">
          <a:extLst>
            <a:ext uri="{FF2B5EF4-FFF2-40B4-BE49-F238E27FC236}">
              <a16:creationId xmlns:a16="http://schemas.microsoft.com/office/drawing/2014/main" id="{36E38CF4-BC7E-367F-6F01-3E7C33250DB4}"/>
            </a:ext>
          </a:extLst>
        </xdr:cNvPr>
        <xdr:cNvSpPr/>
      </xdr:nvSpPr>
      <xdr:spPr>
        <a:xfrm>
          <a:off x="1" y="0"/>
          <a:ext cx="15688234" cy="829235"/>
        </a:xfrm>
        <a:prstGeom prst="rect">
          <a:avLst/>
        </a:prstGeom>
        <a:solidFill>
          <a:schemeClr val="accent3">
            <a:lumMod val="60000"/>
            <a:lumOff val="4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1828800" marR="0" lvl="4" indent="0" algn="l" defTabSz="914400" eaLnBrk="1" fontAlgn="auto" latinLnBrk="0" hangingPunct="1">
            <a:lnSpc>
              <a:spcPct val="100000"/>
            </a:lnSpc>
            <a:spcBef>
              <a:spcPts val="0"/>
            </a:spcBef>
            <a:spcAft>
              <a:spcPts val="0"/>
            </a:spcAft>
            <a:buClrTx/>
            <a:buSzTx/>
            <a:buFontTx/>
            <a:buNone/>
            <a:tabLst/>
            <a:defRPr/>
          </a:pPr>
          <a:r>
            <a:rPr lang="en-US" sz="28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a:t>
          </a:r>
        </a:p>
      </xdr:txBody>
    </xdr:sp>
    <xdr:clientData/>
  </xdr:twoCellAnchor>
  <xdr:twoCellAnchor>
    <xdr:from>
      <xdr:col>23</xdr:col>
      <xdr:colOff>69270</xdr:colOff>
      <xdr:row>1</xdr:row>
      <xdr:rowOff>93289</xdr:rowOff>
    </xdr:from>
    <xdr:to>
      <xdr:col>25</xdr:col>
      <xdr:colOff>423404</xdr:colOff>
      <xdr:row>3</xdr:row>
      <xdr:rowOff>26614</xdr:rowOff>
    </xdr:to>
    <xdr:sp macro="" textlink="">
      <xdr:nvSpPr>
        <xdr:cNvPr id="6" name="TextBox 5">
          <a:extLst>
            <a:ext uri="{FF2B5EF4-FFF2-40B4-BE49-F238E27FC236}">
              <a16:creationId xmlns:a16="http://schemas.microsoft.com/office/drawing/2014/main" id="{54D12A5A-FE0C-5651-D230-16F6BE08305F}"/>
            </a:ext>
          </a:extLst>
        </xdr:cNvPr>
        <xdr:cNvSpPr txBox="1"/>
      </xdr:nvSpPr>
      <xdr:spPr>
        <a:xfrm>
          <a:off x="14123138" y="281992"/>
          <a:ext cx="1576209" cy="31073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dk1"/>
              </a:solidFill>
              <a:effectLst/>
              <a:latin typeface="+mn-lt"/>
              <a:ea typeface="+mn-ea"/>
              <a:cs typeface="+mn-cs"/>
            </a:rPr>
            <a:t>Assem Hasanen</a:t>
          </a:r>
          <a:r>
            <a:rPr lang="en-US" sz="1600" b="1" baseline="0">
              <a:solidFill>
                <a:schemeClr val="dk1"/>
              </a:solidFill>
              <a:effectLst/>
              <a:latin typeface="+mn-lt"/>
              <a:ea typeface="+mn-ea"/>
              <a:cs typeface="+mn-cs"/>
            </a:rPr>
            <a:t>  </a:t>
          </a:r>
          <a:endParaRPr lang="en-US" sz="1600"/>
        </a:p>
      </xdr:txBody>
    </xdr:sp>
    <xdr:clientData/>
  </xdr:twoCellAnchor>
  <xdr:twoCellAnchor>
    <xdr:from>
      <xdr:col>2</xdr:col>
      <xdr:colOff>295722</xdr:colOff>
      <xdr:row>20</xdr:row>
      <xdr:rowOff>11766</xdr:rowOff>
    </xdr:from>
    <xdr:to>
      <xdr:col>10</xdr:col>
      <xdr:colOff>265242</xdr:colOff>
      <xdr:row>35</xdr:row>
      <xdr:rowOff>7194</xdr:rowOff>
    </xdr:to>
    <xdr:graphicFrame macro="">
      <xdr:nvGraphicFramePr>
        <xdr:cNvPr id="8" name="Chart 7">
          <a:extLst>
            <a:ext uri="{FF2B5EF4-FFF2-40B4-BE49-F238E27FC236}">
              <a16:creationId xmlns:a16="http://schemas.microsoft.com/office/drawing/2014/main" id="{616F61CA-F567-4132-A5F3-BB8639868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336177</xdr:colOff>
      <xdr:row>4</xdr:row>
      <xdr:rowOff>145116</xdr:rowOff>
    </xdr:from>
    <xdr:to>
      <xdr:col>10</xdr:col>
      <xdr:colOff>305697</xdr:colOff>
      <xdr:row>19</xdr:row>
      <xdr:rowOff>135590</xdr:rowOff>
    </xdr:to>
    <xdr:graphicFrame macro="">
      <xdr:nvGraphicFramePr>
        <xdr:cNvPr id="9" name="Chart 8">
          <a:extLst>
            <a:ext uri="{FF2B5EF4-FFF2-40B4-BE49-F238E27FC236}">
              <a16:creationId xmlns:a16="http://schemas.microsoft.com/office/drawing/2014/main" id="{8BDE9C7A-49CF-4F4A-85E6-04B7D29B0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301438</xdr:colOff>
      <xdr:row>4</xdr:row>
      <xdr:rowOff>145116</xdr:rowOff>
    </xdr:from>
    <xdr:to>
      <xdr:col>18</xdr:col>
      <xdr:colOff>270958</xdr:colOff>
      <xdr:row>19</xdr:row>
      <xdr:rowOff>140544</xdr:rowOff>
    </xdr:to>
    <xdr:graphicFrame macro="">
      <xdr:nvGraphicFramePr>
        <xdr:cNvPr id="11" name="Chart 10">
          <a:extLst>
            <a:ext uri="{FF2B5EF4-FFF2-40B4-BE49-F238E27FC236}">
              <a16:creationId xmlns:a16="http://schemas.microsoft.com/office/drawing/2014/main" id="{3D5619E5-70DC-49AC-9235-C6FB58B17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272863</xdr:colOff>
      <xdr:row>20</xdr:row>
      <xdr:rowOff>11766</xdr:rowOff>
    </xdr:from>
    <xdr:to>
      <xdr:col>18</xdr:col>
      <xdr:colOff>242383</xdr:colOff>
      <xdr:row>35</xdr:row>
      <xdr:rowOff>7194</xdr:rowOff>
    </xdr:to>
    <xdr:graphicFrame macro="">
      <xdr:nvGraphicFramePr>
        <xdr:cNvPr id="14" name="Chart 13">
          <a:extLst>
            <a:ext uri="{FF2B5EF4-FFF2-40B4-BE49-F238E27FC236}">
              <a16:creationId xmlns:a16="http://schemas.microsoft.com/office/drawing/2014/main" id="{BD8517D3-F032-4232-AED2-6F35E1BF8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22412</xdr:colOff>
      <xdr:row>5</xdr:row>
      <xdr:rowOff>33618</xdr:rowOff>
    </xdr:from>
    <xdr:to>
      <xdr:col>2</xdr:col>
      <xdr:colOff>123265</xdr:colOff>
      <xdr:row>16</xdr:row>
      <xdr:rowOff>100853</xdr:rowOff>
    </xdr:to>
    <xdr:sp macro="" textlink="">
      <xdr:nvSpPr>
        <xdr:cNvPr id="16" name="Rectangle: Rounded Corners 15">
          <a:extLst>
            <a:ext uri="{FF2B5EF4-FFF2-40B4-BE49-F238E27FC236}">
              <a16:creationId xmlns:a16="http://schemas.microsoft.com/office/drawing/2014/main" id="{268F97AA-E68E-5FF7-83CD-7F9F25457E78}"/>
            </a:ext>
          </a:extLst>
        </xdr:cNvPr>
        <xdr:cNvSpPr/>
      </xdr:nvSpPr>
      <xdr:spPr>
        <a:xfrm>
          <a:off x="22412" y="986118"/>
          <a:ext cx="1311088" cy="2162735"/>
        </a:xfrm>
        <a:prstGeom prst="roundRect">
          <a:avLst/>
        </a:prstGeom>
        <a:solidFill>
          <a:srgbClr val="4A86E8"/>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500" b="1">
              <a:solidFill>
                <a:schemeClr val="lt1"/>
              </a:solidFill>
              <a:latin typeface="+mn-lt"/>
              <a:ea typeface="+mn-ea"/>
              <a:cs typeface="+mn-cs"/>
            </a:rPr>
            <a:t>#Employees</a:t>
          </a:r>
        </a:p>
      </xdr:txBody>
    </xdr:sp>
    <xdr:clientData/>
  </xdr:twoCellAnchor>
  <xdr:twoCellAnchor>
    <xdr:from>
      <xdr:col>0</xdr:col>
      <xdr:colOff>212913</xdr:colOff>
      <xdr:row>9</xdr:row>
      <xdr:rowOff>22412</xdr:rowOff>
    </xdr:from>
    <xdr:to>
      <xdr:col>1</xdr:col>
      <xdr:colOff>526677</xdr:colOff>
      <xdr:row>12</xdr:row>
      <xdr:rowOff>22412</xdr:rowOff>
    </xdr:to>
    <xdr:sp macro="" textlink="Report!$J$5">
      <xdr:nvSpPr>
        <xdr:cNvPr id="17" name="TextBox 16">
          <a:extLst>
            <a:ext uri="{FF2B5EF4-FFF2-40B4-BE49-F238E27FC236}">
              <a16:creationId xmlns:a16="http://schemas.microsoft.com/office/drawing/2014/main" id="{C13C1478-DBF7-7A05-1AE4-6D14C2158A96}"/>
            </a:ext>
          </a:extLst>
        </xdr:cNvPr>
        <xdr:cNvSpPr txBox="1"/>
      </xdr:nvSpPr>
      <xdr:spPr>
        <a:xfrm>
          <a:off x="212913" y="1736912"/>
          <a:ext cx="918882"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F7C6FE-6536-42DF-9A67-488BCAA35BD8}" type="TxLink">
            <a:rPr lang="en-US" sz="1800" b="1" i="0" u="none" strike="noStrike">
              <a:solidFill>
                <a:schemeClr val="bg1"/>
              </a:solidFill>
              <a:latin typeface="Calibri"/>
              <a:cs typeface="Calibri"/>
            </a:rPr>
            <a:pPr algn="ctr"/>
            <a:t>200</a:t>
          </a:fld>
          <a:endParaRPr lang="en-US" sz="1800" b="1">
            <a:solidFill>
              <a:schemeClr val="bg1"/>
            </a:solidFill>
          </a:endParaRPr>
        </a:p>
      </xdr:txBody>
    </xdr:sp>
    <xdr:clientData/>
  </xdr:twoCellAnchor>
  <xdr:twoCellAnchor>
    <xdr:from>
      <xdr:col>0</xdr:col>
      <xdr:colOff>22412</xdr:colOff>
      <xdr:row>18</xdr:row>
      <xdr:rowOff>0</xdr:rowOff>
    </xdr:from>
    <xdr:to>
      <xdr:col>2</xdr:col>
      <xdr:colOff>123265</xdr:colOff>
      <xdr:row>29</xdr:row>
      <xdr:rowOff>67235</xdr:rowOff>
    </xdr:to>
    <xdr:sp macro="" textlink="">
      <xdr:nvSpPr>
        <xdr:cNvPr id="18" name="Rectangle: Rounded Corners 17">
          <a:extLst>
            <a:ext uri="{FF2B5EF4-FFF2-40B4-BE49-F238E27FC236}">
              <a16:creationId xmlns:a16="http://schemas.microsoft.com/office/drawing/2014/main" id="{06AB5224-99C0-49D1-A2A0-711FE9175A01}"/>
            </a:ext>
          </a:extLst>
        </xdr:cNvPr>
        <xdr:cNvSpPr/>
      </xdr:nvSpPr>
      <xdr:spPr>
        <a:xfrm>
          <a:off x="22412" y="3429000"/>
          <a:ext cx="1311088" cy="2162735"/>
        </a:xfrm>
        <a:prstGeom prst="roundRect">
          <a:avLst/>
        </a:prstGeom>
        <a:solidFill>
          <a:srgbClr val="4A86E8"/>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500" b="1">
              <a:solidFill>
                <a:schemeClr val="lt1"/>
              </a:solidFill>
              <a:latin typeface="+mn-lt"/>
              <a:ea typeface="+mn-ea"/>
              <a:cs typeface="+mn-cs"/>
            </a:rPr>
            <a:t>Avg PER</a:t>
          </a:r>
        </a:p>
        <a:p>
          <a:pPr marL="0" indent="0" algn="ctr"/>
          <a:endParaRPr lang="en-US" sz="1500" b="1">
            <a:solidFill>
              <a:schemeClr val="lt1"/>
            </a:solidFill>
            <a:latin typeface="+mn-lt"/>
            <a:ea typeface="+mn-ea"/>
            <a:cs typeface="+mn-cs"/>
          </a:endParaRPr>
        </a:p>
      </xdr:txBody>
    </xdr:sp>
    <xdr:clientData/>
  </xdr:twoCellAnchor>
  <xdr:twoCellAnchor>
    <xdr:from>
      <xdr:col>0</xdr:col>
      <xdr:colOff>224118</xdr:colOff>
      <xdr:row>22</xdr:row>
      <xdr:rowOff>145676</xdr:rowOff>
    </xdr:from>
    <xdr:to>
      <xdr:col>1</xdr:col>
      <xdr:colOff>537882</xdr:colOff>
      <xdr:row>27</xdr:row>
      <xdr:rowOff>22412</xdr:rowOff>
    </xdr:to>
    <xdr:sp macro="" textlink="Report!$F$5">
      <xdr:nvSpPr>
        <xdr:cNvPr id="21" name="TextBox 20">
          <a:extLst>
            <a:ext uri="{FF2B5EF4-FFF2-40B4-BE49-F238E27FC236}">
              <a16:creationId xmlns:a16="http://schemas.microsoft.com/office/drawing/2014/main" id="{4A78E0A7-37EB-46D5-86CE-FBA60B82BBAC}"/>
            </a:ext>
          </a:extLst>
        </xdr:cNvPr>
        <xdr:cNvSpPr txBox="1"/>
      </xdr:nvSpPr>
      <xdr:spPr>
        <a:xfrm>
          <a:off x="224118" y="4336676"/>
          <a:ext cx="918882" cy="829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0A88AA-4BA1-4445-8A91-F1087BA0EF6E}" type="TxLink">
            <a:rPr lang="en-US" sz="1900" b="1" i="0" u="none" strike="noStrike">
              <a:solidFill>
                <a:schemeClr val="bg1"/>
              </a:solidFill>
              <a:latin typeface="Calibri"/>
              <a:cs typeface="Calibri"/>
            </a:rPr>
            <a:pPr algn="ctr"/>
            <a:t>11%</a:t>
          </a:fld>
          <a:endParaRPr lang="en-US" sz="1900" b="1">
            <a:solidFill>
              <a:schemeClr val="bg1"/>
            </a:solidFill>
          </a:endParaRPr>
        </a:p>
      </xdr:txBody>
    </xdr:sp>
    <xdr:clientData/>
  </xdr:twoCellAnchor>
  <xdr:twoCellAnchor>
    <xdr:from>
      <xdr:col>0</xdr:col>
      <xdr:colOff>156883</xdr:colOff>
      <xdr:row>35</xdr:row>
      <xdr:rowOff>11206</xdr:rowOff>
    </xdr:from>
    <xdr:to>
      <xdr:col>1</xdr:col>
      <xdr:colOff>470647</xdr:colOff>
      <xdr:row>40</xdr:row>
      <xdr:rowOff>22412</xdr:rowOff>
    </xdr:to>
    <xdr:sp macro="" textlink="">
      <xdr:nvSpPr>
        <xdr:cNvPr id="22" name="TextBox 21">
          <a:extLst>
            <a:ext uri="{FF2B5EF4-FFF2-40B4-BE49-F238E27FC236}">
              <a16:creationId xmlns:a16="http://schemas.microsoft.com/office/drawing/2014/main" id="{1938C696-170A-4023-AD5F-34B2CA91016A}"/>
            </a:ext>
          </a:extLst>
        </xdr:cNvPr>
        <xdr:cNvSpPr txBox="1"/>
      </xdr:nvSpPr>
      <xdr:spPr>
        <a:xfrm>
          <a:off x="156883" y="6678706"/>
          <a:ext cx="918882" cy="9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1900" b="1" i="0" u="none" strike="noStrike">
            <a:solidFill>
              <a:srgbClr val="000000"/>
            </a:solidFill>
            <a:latin typeface="Calibri"/>
            <a:ea typeface="+mn-ea"/>
            <a:cs typeface="Calibri"/>
          </a:endParaRPr>
        </a:p>
      </xdr:txBody>
    </xdr:sp>
    <xdr:clientData/>
  </xdr:twoCellAnchor>
  <xdr:twoCellAnchor editAs="oneCell">
    <xdr:from>
      <xdr:col>14</xdr:col>
      <xdr:colOff>123264</xdr:colOff>
      <xdr:row>0</xdr:row>
      <xdr:rowOff>108697</xdr:rowOff>
    </xdr:from>
    <xdr:to>
      <xdr:col>23</xdr:col>
      <xdr:colOff>89646</xdr:colOff>
      <xdr:row>4</xdr:row>
      <xdr:rowOff>11206</xdr:rowOff>
    </xdr:to>
    <mc:AlternateContent xmlns:mc="http://schemas.openxmlformats.org/markup-compatibility/2006" xmlns:a14="http://schemas.microsoft.com/office/drawing/2010/main">
      <mc:Choice Requires="a14">
        <xdr:graphicFrame macro="">
          <xdr:nvGraphicFramePr>
            <xdr:cNvPr id="27" name="Dep">
              <a:extLst>
                <a:ext uri="{FF2B5EF4-FFF2-40B4-BE49-F238E27FC236}">
                  <a16:creationId xmlns:a16="http://schemas.microsoft.com/office/drawing/2014/main" id="{B24D06F4-91CD-4F5C-6D65-A2129C89FF9C}"/>
                </a:ext>
              </a:extLst>
            </xdr:cNvPr>
            <xdr:cNvGraphicFramePr/>
          </xdr:nvGraphicFramePr>
          <xdr:xfrm>
            <a:off x="0" y="0"/>
            <a:ext cx="0" cy="0"/>
          </xdr:xfrm>
          <a:graphic>
            <a:graphicData uri="http://schemas.microsoft.com/office/drawing/2010/slicer">
              <sle:slicer xmlns:sle="http://schemas.microsoft.com/office/drawing/2010/slicer" name="Dep"/>
            </a:graphicData>
          </a:graphic>
        </xdr:graphicFrame>
      </mc:Choice>
      <mc:Fallback xmlns="">
        <xdr:sp macro="" textlink="">
          <xdr:nvSpPr>
            <xdr:cNvPr id="0" name=""/>
            <xdr:cNvSpPr>
              <a:spLocks noTextEdit="1"/>
            </xdr:cNvSpPr>
          </xdr:nvSpPr>
          <xdr:spPr>
            <a:xfrm>
              <a:off x="8716931" y="108697"/>
              <a:ext cx="5490882" cy="6645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266699</xdr:colOff>
      <xdr:row>4</xdr:row>
      <xdr:rowOff>145116</xdr:rowOff>
    </xdr:from>
    <xdr:to>
      <xdr:col>26</xdr:col>
      <xdr:colOff>236219</xdr:colOff>
      <xdr:row>19</xdr:row>
      <xdr:rowOff>140544</xdr:rowOff>
    </xdr:to>
    <xdr:graphicFrame macro="">
      <xdr:nvGraphicFramePr>
        <xdr:cNvPr id="29" name="Chart 28">
          <a:extLst>
            <a:ext uri="{FF2B5EF4-FFF2-40B4-BE49-F238E27FC236}">
              <a16:creationId xmlns:a16="http://schemas.microsoft.com/office/drawing/2014/main" id="{71FD05B0-CCB9-4AA3-BC89-983643BA2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249766</xdr:colOff>
      <xdr:row>20</xdr:row>
      <xdr:rowOff>11766</xdr:rowOff>
    </xdr:from>
    <xdr:to>
      <xdr:col>26</xdr:col>
      <xdr:colOff>219286</xdr:colOff>
      <xdr:row>35</xdr:row>
      <xdr:rowOff>7194</xdr:rowOff>
    </xdr:to>
    <xdr:graphicFrame macro="">
      <xdr:nvGraphicFramePr>
        <xdr:cNvPr id="30" name="Chart 29">
          <a:extLst>
            <a:ext uri="{FF2B5EF4-FFF2-40B4-BE49-F238E27FC236}">
              <a16:creationId xmlns:a16="http://schemas.microsoft.com/office/drawing/2014/main" id="{AAF1C986-583F-4FD4-84D6-F6F58EAD7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8984</xdr:rowOff>
    </xdr:from>
    <xdr:to>
      <xdr:col>3</xdr:col>
      <xdr:colOff>209224</xdr:colOff>
      <xdr:row>4</xdr:row>
      <xdr:rowOff>58915</xdr:rowOff>
    </xdr:to>
    <xdr:pic>
      <xdr:nvPicPr>
        <xdr:cNvPr id="4" name="Picture 3">
          <a:extLst>
            <a:ext uri="{FF2B5EF4-FFF2-40B4-BE49-F238E27FC236}">
              <a16:creationId xmlns:a16="http://schemas.microsoft.com/office/drawing/2014/main" id="{ADE27D1E-8ED3-0A8E-738E-EAD024C2745E}"/>
            </a:ext>
          </a:extLst>
        </xdr:cNvPr>
        <xdr:cNvPicPr>
          <a:picLocks noChangeAspect="1"/>
        </xdr:cNvPicPr>
      </xdr:nvPicPr>
      <xdr:blipFill>
        <a:blip xmlns:r="http://schemas.openxmlformats.org/officeDocument/2006/relationships" r:embed="rId7"/>
        <a:stretch>
          <a:fillRect/>
        </a:stretch>
      </xdr:blipFill>
      <xdr:spPr>
        <a:xfrm>
          <a:off x="0" y="8984"/>
          <a:ext cx="2042337" cy="804742"/>
        </a:xfrm>
        <a:prstGeom prst="rect">
          <a:avLst/>
        </a:prstGeom>
      </xdr:spPr>
    </xdr:pic>
    <xdr:clientData/>
  </xdr:twoCellAnchor>
  <xdr:twoCellAnchor>
    <xdr:from>
      <xdr:col>2</xdr:col>
      <xdr:colOff>297735</xdr:colOff>
      <xdr:row>35</xdr:row>
      <xdr:rowOff>153977</xdr:rowOff>
    </xdr:from>
    <xdr:to>
      <xdr:col>10</xdr:col>
      <xdr:colOff>263230</xdr:colOff>
      <xdr:row>43</xdr:row>
      <xdr:rowOff>0</xdr:rowOff>
    </xdr:to>
    <xdr:sp macro="" textlink="">
      <xdr:nvSpPr>
        <xdr:cNvPr id="5" name="Rectangle: Rounded Corners 4">
          <a:extLst>
            <a:ext uri="{FF2B5EF4-FFF2-40B4-BE49-F238E27FC236}">
              <a16:creationId xmlns:a16="http://schemas.microsoft.com/office/drawing/2014/main" id="{A5BA4592-0AA8-7E28-04B7-C4D4114294C4}"/>
            </a:ext>
          </a:extLst>
        </xdr:cNvPr>
        <xdr:cNvSpPr/>
      </xdr:nvSpPr>
      <xdr:spPr>
        <a:xfrm>
          <a:off x="1525402" y="6821477"/>
          <a:ext cx="4876161" cy="1370023"/>
        </a:xfrm>
        <a:prstGeom prst="roundRect">
          <a:avLst/>
        </a:prstGeom>
        <a:solidFill>
          <a:schemeClr val="bg2"/>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002060"/>
              </a:solidFill>
            </a:rPr>
            <a:t>Key insights:</a:t>
          </a:r>
        </a:p>
        <a:p>
          <a:pPr algn="l"/>
          <a:r>
            <a:rPr lang="en-US" b="1">
              <a:solidFill>
                <a:schemeClr val="tx1"/>
              </a:solidFill>
            </a:rPr>
            <a:t>Top Performer:</a:t>
          </a:r>
          <a:r>
            <a:rPr lang="en-US">
              <a:solidFill>
                <a:schemeClr val="tx1"/>
              </a:solidFill>
            </a:rPr>
            <a:t> Alexandria dominates with </a:t>
          </a:r>
          <a:r>
            <a:rPr lang="en-US" b="1">
              <a:solidFill>
                <a:schemeClr val="tx1"/>
              </a:solidFill>
            </a:rPr>
            <a:t>47% of total salaries</a:t>
          </a:r>
          <a:r>
            <a:rPr lang="en-US">
              <a:solidFill>
                <a:schemeClr val="tx1"/>
              </a:solidFill>
            </a:rPr>
            <a:t> and the highest performance growth (</a:t>
          </a:r>
          <a:r>
            <a:rPr lang="en-US" b="1">
              <a:solidFill>
                <a:schemeClr val="tx1"/>
              </a:solidFill>
            </a:rPr>
            <a:t>16%</a:t>
          </a:r>
          <a:r>
            <a:rPr lang="en-US">
              <a:solidFill>
                <a:schemeClr val="tx1"/>
              </a:solidFill>
            </a:rPr>
            <a:t>).</a:t>
          </a:r>
        </a:p>
        <a:p>
          <a:r>
            <a:rPr lang="en-US" b="1">
              <a:solidFill>
                <a:schemeClr val="tx1"/>
              </a:solidFill>
            </a:rPr>
            <a:t>Education Impact:</a:t>
          </a:r>
          <a:r>
            <a:rPr lang="en-US">
              <a:solidFill>
                <a:schemeClr val="tx1"/>
              </a:solidFill>
            </a:rPr>
            <a:t> Bachelor’s degrees (</a:t>
          </a:r>
          <a:r>
            <a:rPr lang="ar-EG" b="1">
              <a:solidFill>
                <a:schemeClr val="tx1"/>
              </a:solidFill>
            </a:rPr>
            <a:t>بكالوريوس</a:t>
          </a:r>
          <a:r>
            <a:rPr lang="ar-EG">
              <a:solidFill>
                <a:schemeClr val="tx1"/>
              </a:solidFill>
            </a:rPr>
            <a:t>) </a:t>
          </a:r>
          <a:r>
            <a:rPr lang="en-US">
              <a:solidFill>
                <a:schemeClr val="tx1"/>
              </a:solidFill>
            </a:rPr>
            <a:t>consistently drive the highest results across all branches.</a:t>
          </a:r>
        </a:p>
        <a:p>
          <a:r>
            <a:rPr lang="en-US" b="1">
              <a:solidFill>
                <a:schemeClr val="tx1"/>
              </a:solidFill>
            </a:rPr>
            <a:t>Efficiency:</a:t>
          </a:r>
          <a:r>
            <a:rPr lang="en-US">
              <a:solidFill>
                <a:schemeClr val="tx1"/>
              </a:solidFill>
            </a:rPr>
            <a:t> Cairo has a competitive average salary but lower performance growth (</a:t>
          </a:r>
          <a:r>
            <a:rPr lang="en-US" b="1">
              <a:solidFill>
                <a:schemeClr val="tx1"/>
              </a:solidFill>
            </a:rPr>
            <a:t>5%</a:t>
          </a:r>
          <a:r>
            <a:rPr lang="en-US">
              <a:solidFill>
                <a:schemeClr val="tx1"/>
              </a:solidFill>
            </a:rPr>
            <a:t>) compared to Tanta.</a:t>
          </a:r>
        </a:p>
        <a:p>
          <a:pPr algn="l"/>
          <a:endParaRPr lang="en-US" sz="1100" b="1">
            <a:solidFill>
              <a:schemeClr val="tx1"/>
            </a:solidFill>
          </a:endParaRPr>
        </a:p>
      </xdr:txBody>
    </xdr:sp>
    <xdr:clientData/>
  </xdr:twoCellAnchor>
  <xdr:twoCellAnchor>
    <xdr:from>
      <xdr:col>18</xdr:col>
      <xdr:colOff>308609</xdr:colOff>
      <xdr:row>35</xdr:row>
      <xdr:rowOff>74084</xdr:rowOff>
    </xdr:from>
    <xdr:to>
      <xdr:col>26</xdr:col>
      <xdr:colOff>160442</xdr:colOff>
      <xdr:row>43</xdr:row>
      <xdr:rowOff>95250</xdr:rowOff>
    </xdr:to>
    <xdr:sp macro="" textlink="">
      <xdr:nvSpPr>
        <xdr:cNvPr id="7" name="Rectangle: Rounded Corners 6">
          <a:extLst>
            <a:ext uri="{FF2B5EF4-FFF2-40B4-BE49-F238E27FC236}">
              <a16:creationId xmlns:a16="http://schemas.microsoft.com/office/drawing/2014/main" id="{85515E46-E9FD-6F08-B3C3-B1C9A8AEA9BF}"/>
            </a:ext>
          </a:extLst>
        </xdr:cNvPr>
        <xdr:cNvSpPr/>
      </xdr:nvSpPr>
      <xdr:spPr>
        <a:xfrm>
          <a:off x="11357609" y="6741584"/>
          <a:ext cx="4762500" cy="1545166"/>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rgbClr val="002060"/>
              </a:solidFill>
            </a:rPr>
            <a:t>Recommendation</a:t>
          </a:r>
          <a:r>
            <a:rPr lang="en-US" sz="1100" b="1" baseline="0">
              <a:solidFill>
                <a:srgbClr val="002060"/>
              </a:solidFill>
            </a:rPr>
            <a:t>:</a:t>
          </a:r>
        </a:p>
        <a:p>
          <a:r>
            <a:rPr lang="en-US" b="1">
              <a:solidFill>
                <a:schemeClr val="tx1"/>
              </a:solidFill>
            </a:rPr>
            <a:t>Replicate Success:</a:t>
          </a:r>
          <a:r>
            <a:rPr lang="en-US">
              <a:solidFill>
                <a:schemeClr val="tx1"/>
              </a:solidFill>
            </a:rPr>
            <a:t> Apply Alexandria’s training or management model to the Cairo and Tanta branches.</a:t>
          </a:r>
        </a:p>
        <a:p>
          <a:r>
            <a:rPr lang="en-US" b="1">
              <a:solidFill>
                <a:schemeClr val="tx1"/>
              </a:solidFill>
            </a:rPr>
            <a:t>Upskill Talent:</a:t>
          </a:r>
          <a:r>
            <a:rPr lang="en-US">
              <a:solidFill>
                <a:schemeClr val="tx1"/>
              </a:solidFill>
            </a:rPr>
            <a:t> Targeted development for employees with "Diplomas" to raise the overall performance baseline.</a:t>
          </a:r>
        </a:p>
        <a:p>
          <a:r>
            <a:rPr lang="en-US" b="1">
              <a:solidFill>
                <a:schemeClr val="tx1"/>
              </a:solidFill>
            </a:rPr>
            <a:t>Audit Cairo:</a:t>
          </a:r>
          <a:r>
            <a:rPr lang="en-US">
              <a:solidFill>
                <a:schemeClr val="tx1"/>
              </a:solidFill>
            </a:rPr>
            <a:t> Investigate the gap between Cairo's high average salary and its lower performance growth.</a:t>
          </a:r>
        </a:p>
        <a:p>
          <a:pPr algn="l"/>
          <a:endParaRPr lang="en-US" sz="1100" b="1">
            <a:solidFill>
              <a:srgbClr val="002060"/>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0.45046</cdr:x>
      <cdr:y>0.43074</cdr:y>
    </cdr:from>
    <cdr:to>
      <cdr:x>0.60588</cdr:x>
      <cdr:y>0.67742</cdr:y>
    </cdr:to>
    <cdr:sp macro="" textlink="">
      <cdr:nvSpPr>
        <cdr:cNvPr id="2" name="TextBox 1">
          <a:extLst xmlns:a="http://schemas.openxmlformats.org/drawingml/2006/main">
            <a:ext uri="{FF2B5EF4-FFF2-40B4-BE49-F238E27FC236}">
              <a16:creationId xmlns:a16="http://schemas.microsoft.com/office/drawing/2014/main" id="{9C73D35A-4C30-5082-0219-27882931F7E4}"/>
            </a:ext>
          </a:extLst>
        </cdr:cNvPr>
        <cdr:cNvSpPr txBox="1"/>
      </cdr:nvSpPr>
      <cdr:spPr>
        <a:xfrm xmlns:a="http://schemas.openxmlformats.org/drawingml/2006/main">
          <a:off x="2208440" y="1235529"/>
          <a:ext cx="762000" cy="7075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0.45878</cdr:x>
      <cdr:y>0.44972</cdr:y>
    </cdr:from>
    <cdr:to>
      <cdr:x>0.60866</cdr:x>
      <cdr:y>0.66319</cdr:y>
    </cdr:to>
    <cdr:sp macro="" textlink="Report!$F$12">
      <cdr:nvSpPr>
        <cdr:cNvPr id="3" name="TextBox 2">
          <a:extLst xmlns:a="http://schemas.openxmlformats.org/drawingml/2006/main">
            <a:ext uri="{FF2B5EF4-FFF2-40B4-BE49-F238E27FC236}">
              <a16:creationId xmlns:a16="http://schemas.microsoft.com/office/drawing/2014/main" id="{AAD04A18-E412-A894-3DD2-1F83714ADEA4}"/>
            </a:ext>
          </a:extLst>
        </cdr:cNvPr>
        <cdr:cNvSpPr txBox="1"/>
      </cdr:nvSpPr>
      <cdr:spPr>
        <a:xfrm xmlns:a="http://schemas.openxmlformats.org/drawingml/2006/main">
          <a:off x="2249261" y="1289957"/>
          <a:ext cx="734786" cy="61232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B4CF9964-F6A0-4CF0-A046-ACF537FDADDA}" type="TxLink">
            <a:rPr lang="en-US" sz="1200" b="1" i="0" u="none" strike="noStrike">
              <a:solidFill>
                <a:srgbClr val="000000"/>
              </a:solidFill>
              <a:latin typeface="Calibri"/>
              <a:cs typeface="Calibri"/>
            </a:rPr>
            <a:pPr algn="ctr"/>
            <a:t>2634324</a:t>
          </a:fld>
          <a:endParaRPr lang="en-US" sz="12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428.660962731483" createdVersion="8" refreshedVersion="8" minRefreshableVersion="3" recordCount="200" xr:uid="{D5971449-F972-45A4-8D7F-DE90FCC3551D}">
  <cacheSource type="worksheet">
    <worksheetSource name="All_Dep"/>
  </cacheSource>
  <cacheFields count="16">
    <cacheField name="المسلسل" numFmtId="0">
      <sharedItems containsSemiMixedTypes="0" containsString="0" containsNumber="1" containsInteger="1" minValue="1" maxValue="94"/>
    </cacheField>
    <cacheField name="الرقم الوظيفي" numFmtId="0">
      <sharedItems containsSemiMixedTypes="0" containsString="0" containsNumber="1" containsInteger="1" minValue="25905" maxValue="31457"/>
    </cacheField>
    <cacheField name="اسم الموظف" numFmtId="0">
      <sharedItems count="38">
        <s v="علي محمد"/>
        <s v="خالد محمد"/>
        <s v="نسمة كامل"/>
        <s v="تغريد يحيي"/>
        <s v="حسن أحمد"/>
        <s v="مؤمن محمد"/>
        <s v="حسين ياسر"/>
        <s v="محمد علاء"/>
        <s v="تامر خالد"/>
        <s v="أحمد حسن"/>
        <s v="مهاب أسامة"/>
        <s v="ايمان علي سلامة"/>
        <s v="الاء أحمد"/>
        <s v="فادي نور"/>
        <s v="نور يحيي"/>
        <s v="هدي محمد"/>
        <s v="أشرف أحمد"/>
        <s v="يوسف أحمد"/>
        <s v="أحمد فريد"/>
        <s v="نورهان أحمد"/>
        <s v="منه محمود"/>
        <s v="يحيي هادي"/>
        <s v="هالة عبد العال"/>
        <s v="ندي إبراهيم"/>
        <s v="عبد الرحمن محمد"/>
        <s v="كامل عصام"/>
        <s v="اسراء عصام"/>
        <s v="منه أحمد"/>
        <s v="نغم محمد"/>
        <s v="سارة احمد محمد"/>
        <s v="مي محمد ابراهيم"/>
        <s v="محمد راضي"/>
        <s v="مروة محمد عبدالله"/>
        <s v="حازم أحمد"/>
        <s v="مارك يوسف"/>
        <s v="أحمد سمير"/>
        <s v="هند بهاء"/>
        <s v="محمد أحمد"/>
      </sharedItems>
    </cacheField>
    <cacheField name="الوظيفة" numFmtId="0">
      <sharedItems count="13">
        <s v="Financial Manager"/>
        <s v="Accountant"/>
        <s v="HR Manager"/>
        <s v="HR Specialist"/>
        <s v="Recruitment Specialsit"/>
        <s v="HR Coordinator"/>
        <s v="IT Manager"/>
        <s v="Software developer"/>
        <s v="Marketing Manager"/>
        <s v="Digital marketing specialist"/>
        <s v="Products Marketing Coordinator"/>
        <s v="Sales Manager"/>
        <s v="Sales rep."/>
      </sharedItems>
    </cacheField>
    <cacheField name="القسم" numFmtId="0">
      <sharedItems count="6">
        <s v="Finance"/>
        <s v="HR"/>
        <s v="IT"/>
        <s v="Marketing"/>
        <s v="Sales"/>
        <s v="Marketing " u="1"/>
      </sharedItems>
    </cacheField>
    <cacheField name="الموقع" numFmtId="0">
      <sharedItems count="3">
        <s v="القاهرة"/>
        <s v="طنطا"/>
        <s v="الاسكندرية"/>
      </sharedItems>
    </cacheField>
    <cacheField name="تاريخ التعيين" numFmtId="14">
      <sharedItems containsSemiMixedTypes="0" containsNonDate="0" containsDate="1" containsString="0" minDate="1995-11-26T00:00:00" maxDate="2018-12-30T00:00:00"/>
    </cacheField>
    <cacheField name="تاريخ الميلاد" numFmtId="14">
      <sharedItems containsSemiMixedTypes="0" containsNonDate="0" containsDate="1" containsString="0" minDate="1959-05-25T00:00:00" maxDate="1989-08-24T00:00:00"/>
    </cacheField>
    <cacheField name="المؤهل الدراسي" numFmtId="0">
      <sharedItems count="3">
        <s v="ماجستير"/>
        <s v="بكالوريوس"/>
        <s v="دبلوم"/>
      </sharedItems>
    </cacheField>
    <cacheField name="الراتب" numFmtId="0">
      <sharedItems containsSemiMixedTypes="0" containsString="0" containsNumber="1" containsInteger="1" minValue="1428" maxValue="35000"/>
    </cacheField>
    <cacheField name="PER 2019" numFmtId="9">
      <sharedItems containsSemiMixedTypes="0" containsString="0" containsNumber="1" minValue="0.75" maxValue="0.89"/>
    </cacheField>
    <cacheField name="PER 2020" numFmtId="9">
      <sharedItems containsSemiMixedTypes="0" containsString="0" containsNumber="1" minValue="0.4" maxValue="0.97"/>
    </cacheField>
    <cacheField name="AGE BY YEARS" numFmtId="0">
      <sharedItems containsSemiMixedTypes="0" containsString="0" containsNumber="1" containsInteger="1" minValue="35" maxValue="66"/>
    </cacheField>
    <cacheField name="Experience By Years" numFmtId="0">
      <sharedItems containsSemiMixedTypes="0" containsString="0" containsNumber="1" containsInteger="1" minValue="5" maxValue="29"/>
    </cacheField>
    <cacheField name="Total PER Average" numFmtId="9">
      <sharedItems containsSemiMixedTypes="0" containsString="0" containsNumber="1" minValue="0.59" maxValue="0.92"/>
    </cacheField>
    <cacheField name="Delta" numFmtId="0">
      <sharedItems containsSemiMixedTypes="0" containsString="0" containsNumber="1" minValue="-0.20999999999999996" maxValue="0.48000000000000004"/>
    </cacheField>
  </cacheFields>
  <extLst>
    <ext xmlns:x14="http://schemas.microsoft.com/office/spreadsheetml/2009/9/main" uri="{725AE2AE-9491-48be-B2B4-4EB974FC3084}">
      <x14:pivotCacheDefinition pivotCacheId="3967627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4"/>
    <n v="29769"/>
    <x v="0"/>
    <x v="0"/>
    <x v="0"/>
    <x v="0"/>
    <d v="2013-08-13T00:00:00"/>
    <d v="1972-07-14T00:00:00"/>
    <x v="0"/>
    <n v="26520"/>
    <n v="0.81"/>
    <n v="0.66"/>
    <n v="53"/>
    <n v="11"/>
    <n v="0.73499999999999999"/>
    <n v="0.15000000000000002"/>
  </r>
  <r>
    <n v="12"/>
    <n v="26401"/>
    <x v="1"/>
    <x v="1"/>
    <x v="0"/>
    <x v="0"/>
    <d v="2016-04-17T00:00:00"/>
    <d v="1970-05-29T00:00:00"/>
    <x v="1"/>
    <n v="16455"/>
    <n v="0.75"/>
    <n v="0.92"/>
    <n v="55"/>
    <n v="8"/>
    <n v="0.83499999999999996"/>
    <n v="-0.17000000000000004"/>
  </r>
  <r>
    <n v="13"/>
    <n v="26435"/>
    <x v="2"/>
    <x v="1"/>
    <x v="0"/>
    <x v="1"/>
    <d v="2001-08-28T00:00:00"/>
    <d v="1962-09-21T00:00:00"/>
    <x v="1"/>
    <n v="4981"/>
    <n v="0.77"/>
    <n v="0.86"/>
    <n v="63"/>
    <n v="23"/>
    <n v="0.81499999999999995"/>
    <n v="-8.9999999999999969E-2"/>
  </r>
  <r>
    <n v="33"/>
    <n v="26410"/>
    <x v="3"/>
    <x v="1"/>
    <x v="0"/>
    <x v="1"/>
    <d v="2016-02-17T00:00:00"/>
    <d v="1975-08-20T00:00:00"/>
    <x v="1"/>
    <n v="3165"/>
    <n v="0.84"/>
    <n v="0.78"/>
    <n v="49"/>
    <n v="8"/>
    <n v="0.81"/>
    <n v="5.9999999999999942E-2"/>
  </r>
  <r>
    <n v="34"/>
    <n v="27385"/>
    <x v="4"/>
    <x v="1"/>
    <x v="0"/>
    <x v="2"/>
    <d v="2016-04-02T00:00:00"/>
    <d v="1967-11-09T00:00:00"/>
    <x v="1"/>
    <n v="20883"/>
    <n v="0.85"/>
    <n v="0.76"/>
    <n v="57"/>
    <n v="8"/>
    <n v="0.80500000000000005"/>
    <n v="8.9999999999999969E-2"/>
  </r>
  <r>
    <n v="61"/>
    <n v="26389"/>
    <x v="5"/>
    <x v="1"/>
    <x v="0"/>
    <x v="0"/>
    <d v="2017-12-02T00:00:00"/>
    <d v="1959-05-25T00:00:00"/>
    <x v="1"/>
    <n v="13380"/>
    <n v="0.8"/>
    <n v="0.72"/>
    <n v="66"/>
    <n v="7"/>
    <n v="0.76"/>
    <n v="8.0000000000000071E-2"/>
  </r>
  <r>
    <n v="62"/>
    <n v="30459"/>
    <x v="6"/>
    <x v="1"/>
    <x v="0"/>
    <x v="1"/>
    <d v="2018-12-10T00:00:00"/>
    <d v="1969-08-23T00:00:00"/>
    <x v="1"/>
    <n v="18856"/>
    <n v="0.81"/>
    <n v="0.48"/>
    <n v="56"/>
    <n v="6"/>
    <n v="0.64500000000000002"/>
    <n v="0.33000000000000007"/>
  </r>
  <r>
    <n v="74"/>
    <n v="27780"/>
    <x v="7"/>
    <x v="1"/>
    <x v="0"/>
    <x v="1"/>
    <d v="2016-02-03T00:00:00"/>
    <d v="1983-05-09T00:00:00"/>
    <x v="1"/>
    <n v="13891"/>
    <n v="0.86"/>
    <n v="0.97"/>
    <n v="42"/>
    <n v="8"/>
    <n v="0.91500000000000004"/>
    <n v="-0.10999999999999999"/>
  </r>
  <r>
    <n v="75"/>
    <n v="25907"/>
    <x v="0"/>
    <x v="1"/>
    <x v="0"/>
    <x v="2"/>
    <d v="2016-02-17T00:00:00"/>
    <d v="1977-02-01T00:00:00"/>
    <x v="1"/>
    <n v="19451"/>
    <n v="0.77"/>
    <n v="0.63"/>
    <n v="48"/>
    <n v="8"/>
    <n v="0.7"/>
    <n v="0.14000000000000001"/>
  </r>
  <r>
    <n v="86"/>
    <n v="27144"/>
    <x v="8"/>
    <x v="1"/>
    <x v="0"/>
    <x v="0"/>
    <d v="2007-01-20T00:00:00"/>
    <d v="1967-12-01T00:00:00"/>
    <x v="1"/>
    <n v="2185"/>
    <n v="0.79"/>
    <n v="0.65"/>
    <n v="57"/>
    <n v="18"/>
    <n v="0.72"/>
    <n v="0.14000000000000001"/>
  </r>
  <r>
    <n v="1"/>
    <n v="26434"/>
    <x v="9"/>
    <x v="2"/>
    <x v="1"/>
    <x v="2"/>
    <d v="2006-11-15T00:00:00"/>
    <d v="1980-11-12T00:00:00"/>
    <x v="1"/>
    <n v="20500"/>
    <n v="0.82"/>
    <n v="0.86"/>
    <n v="44"/>
    <n v="18"/>
    <n v="0.84"/>
    <n v="-4.0000000000000036E-2"/>
  </r>
  <r>
    <n v="6"/>
    <n v="27154"/>
    <x v="10"/>
    <x v="3"/>
    <x v="1"/>
    <x v="2"/>
    <d v="2001-08-18T00:00:00"/>
    <d v="1966-07-08T00:00:00"/>
    <x v="1"/>
    <n v="17233"/>
    <n v="0.89"/>
    <n v="0.41"/>
    <n v="59"/>
    <n v="23"/>
    <n v="0.65"/>
    <n v="0.48000000000000004"/>
  </r>
  <r>
    <n v="7"/>
    <n v="27008"/>
    <x v="11"/>
    <x v="4"/>
    <x v="1"/>
    <x v="1"/>
    <d v="2003-05-17T00:00:00"/>
    <d v="1982-09-01T00:00:00"/>
    <x v="1"/>
    <n v="19987"/>
    <n v="0.76"/>
    <n v="0.55000000000000004"/>
    <n v="42"/>
    <n v="21"/>
    <n v="0.65500000000000003"/>
    <n v="0.20999999999999996"/>
  </r>
  <r>
    <n v="8"/>
    <n v="27621"/>
    <x v="12"/>
    <x v="5"/>
    <x v="1"/>
    <x v="0"/>
    <d v="2008-06-01T00:00:00"/>
    <d v="1981-02-08T00:00:00"/>
    <x v="1"/>
    <n v="23537"/>
    <n v="0.87"/>
    <n v="0.69"/>
    <n v="44"/>
    <n v="16"/>
    <n v="0.78"/>
    <n v="0.18000000000000005"/>
  </r>
  <r>
    <n v="26"/>
    <n v="27374"/>
    <x v="5"/>
    <x v="4"/>
    <x v="1"/>
    <x v="2"/>
    <d v="2016-05-01T00:00:00"/>
    <d v="1975-07-28T00:00:00"/>
    <x v="1"/>
    <n v="7935"/>
    <n v="0.83"/>
    <n v="0.41"/>
    <n v="50"/>
    <n v="8"/>
    <n v="0.62"/>
    <n v="0.42"/>
  </r>
  <r>
    <n v="27"/>
    <n v="29368"/>
    <x v="6"/>
    <x v="3"/>
    <x v="1"/>
    <x v="1"/>
    <d v="2016-05-25T00:00:00"/>
    <d v="1973-11-14T00:00:00"/>
    <x v="1"/>
    <n v="20121"/>
    <n v="0.8"/>
    <n v="0.64"/>
    <n v="51"/>
    <n v="8"/>
    <n v="0.72"/>
    <n v="0.16000000000000003"/>
  </r>
  <r>
    <n v="28"/>
    <n v="27092"/>
    <x v="13"/>
    <x v="4"/>
    <x v="1"/>
    <x v="2"/>
    <d v="2016-08-15T00:00:00"/>
    <d v="1981-04-12T00:00:00"/>
    <x v="1"/>
    <n v="16408"/>
    <n v="0.76"/>
    <n v="0.91"/>
    <n v="44"/>
    <n v="8"/>
    <n v="0.83499999999999996"/>
    <n v="-0.15000000000000002"/>
  </r>
  <r>
    <n v="29"/>
    <n v="26429"/>
    <x v="14"/>
    <x v="5"/>
    <x v="1"/>
    <x v="1"/>
    <d v="1995-11-26T00:00:00"/>
    <d v="1982-08-15T00:00:00"/>
    <x v="1"/>
    <n v="2323"/>
    <n v="0.83"/>
    <n v="0.75"/>
    <n v="42"/>
    <n v="29"/>
    <n v="0.79"/>
    <n v="7.999999999999996E-2"/>
  </r>
  <r>
    <n v="46"/>
    <n v="26994"/>
    <x v="15"/>
    <x v="4"/>
    <x v="1"/>
    <x v="2"/>
    <d v="1998-03-01T00:00:00"/>
    <d v="1965-12-15T00:00:00"/>
    <x v="1"/>
    <n v="6553"/>
    <n v="0.75"/>
    <n v="0.75"/>
    <n v="59"/>
    <n v="27"/>
    <n v="0.75"/>
    <n v="0"/>
  </r>
  <r>
    <n v="47"/>
    <n v="27007"/>
    <x v="16"/>
    <x v="3"/>
    <x v="1"/>
    <x v="2"/>
    <d v="2000-01-19T00:00:00"/>
    <d v="1977-10-25T00:00:00"/>
    <x v="1"/>
    <n v="13054"/>
    <n v="0.82"/>
    <n v="0.48"/>
    <n v="47"/>
    <n v="25"/>
    <n v="0.65"/>
    <n v="0.33999999999999997"/>
  </r>
  <r>
    <n v="48"/>
    <n v="26424"/>
    <x v="1"/>
    <x v="4"/>
    <x v="1"/>
    <x v="2"/>
    <d v="2001-08-15T00:00:00"/>
    <d v="1974-04-11T00:00:00"/>
    <x v="1"/>
    <n v="20909"/>
    <n v="0.88"/>
    <n v="0.46"/>
    <n v="51"/>
    <n v="23"/>
    <n v="0.67"/>
    <n v="0.42"/>
  </r>
  <r>
    <n v="49"/>
    <n v="26415"/>
    <x v="2"/>
    <x v="5"/>
    <x v="1"/>
    <x v="1"/>
    <d v="2002-07-23T00:00:00"/>
    <d v="1969-08-12T00:00:00"/>
    <x v="1"/>
    <n v="23771"/>
    <n v="0.88"/>
    <n v="0.63"/>
    <n v="56"/>
    <n v="22"/>
    <n v="0.755"/>
    <n v="0.25"/>
  </r>
  <r>
    <n v="54"/>
    <n v="27143"/>
    <x v="17"/>
    <x v="4"/>
    <x v="1"/>
    <x v="2"/>
    <d v="2014-04-19T00:00:00"/>
    <d v="1969-08-19T00:00:00"/>
    <x v="1"/>
    <n v="8529"/>
    <n v="0.83"/>
    <n v="0.77"/>
    <n v="56"/>
    <n v="10"/>
    <n v="0.8"/>
    <n v="5.9999999999999942E-2"/>
  </r>
  <r>
    <n v="55"/>
    <n v="27393"/>
    <x v="18"/>
    <x v="3"/>
    <x v="1"/>
    <x v="0"/>
    <d v="2014-12-04T00:00:00"/>
    <d v="1980-11-02T00:00:00"/>
    <x v="1"/>
    <n v="3453"/>
    <n v="0.87"/>
    <n v="0.83"/>
    <n v="44"/>
    <n v="10"/>
    <n v="0.85"/>
    <n v="4.0000000000000036E-2"/>
  </r>
  <r>
    <n v="56"/>
    <n v="30351"/>
    <x v="19"/>
    <x v="4"/>
    <x v="1"/>
    <x v="0"/>
    <d v="2015-02-18T00:00:00"/>
    <d v="1974-03-10T00:00:00"/>
    <x v="1"/>
    <n v="14170"/>
    <n v="0.77"/>
    <n v="0.89"/>
    <n v="51"/>
    <n v="9"/>
    <n v="0.83"/>
    <n v="-0.12"/>
  </r>
  <r>
    <n v="57"/>
    <n v="26441"/>
    <x v="20"/>
    <x v="5"/>
    <x v="1"/>
    <x v="1"/>
    <d v="2016-08-15T00:00:00"/>
    <d v="1984-11-01T00:00:00"/>
    <x v="1"/>
    <n v="3254"/>
    <n v="0.81"/>
    <n v="0.85"/>
    <n v="40"/>
    <n v="8"/>
    <n v="0.83"/>
    <n v="-3.9999999999999925E-2"/>
  </r>
  <r>
    <n v="67"/>
    <n v="27009"/>
    <x v="21"/>
    <x v="4"/>
    <x v="1"/>
    <x v="0"/>
    <d v="2006-04-09T00:00:00"/>
    <d v="1967-11-05T00:00:00"/>
    <x v="1"/>
    <n v="5735"/>
    <n v="0.82"/>
    <n v="0.69"/>
    <n v="57"/>
    <n v="18"/>
    <n v="0.755"/>
    <n v="0.13"/>
  </r>
  <r>
    <n v="68"/>
    <n v="26428"/>
    <x v="3"/>
    <x v="3"/>
    <x v="1"/>
    <x v="0"/>
    <d v="2007-08-04T00:00:00"/>
    <d v="1970-01-04T00:00:00"/>
    <x v="1"/>
    <n v="2725"/>
    <n v="0.8"/>
    <n v="0.54"/>
    <n v="55"/>
    <n v="17"/>
    <n v="0.67"/>
    <n v="0.26"/>
  </r>
  <r>
    <n v="69"/>
    <n v="26417"/>
    <x v="4"/>
    <x v="4"/>
    <x v="1"/>
    <x v="2"/>
    <d v="2008-10-04T00:00:00"/>
    <d v="1971-02-17T00:00:00"/>
    <x v="1"/>
    <n v="5909"/>
    <n v="0.76"/>
    <n v="0.43"/>
    <n v="54"/>
    <n v="16"/>
    <n v="0.59499999999999997"/>
    <n v="0.33"/>
  </r>
  <r>
    <n v="70"/>
    <n v="27150"/>
    <x v="22"/>
    <x v="5"/>
    <x v="1"/>
    <x v="2"/>
    <d v="2010-01-02T00:00:00"/>
    <d v="1964-12-15T00:00:00"/>
    <x v="1"/>
    <n v="11445"/>
    <n v="0.8"/>
    <n v="0.57999999999999996"/>
    <n v="60"/>
    <n v="15"/>
    <n v="0.69"/>
    <n v="0.22000000000000008"/>
  </r>
  <r>
    <n v="83"/>
    <n v="26399"/>
    <x v="2"/>
    <x v="3"/>
    <x v="1"/>
    <x v="2"/>
    <d v="2002-01-26T00:00:00"/>
    <d v="1982-04-01T00:00:00"/>
    <x v="1"/>
    <n v="6834"/>
    <n v="0.83"/>
    <n v="0.64"/>
    <n v="43"/>
    <n v="23"/>
    <n v="0.73499999999999999"/>
    <n v="0.18999999999999995"/>
  </r>
  <r>
    <n v="84"/>
    <n v="26442"/>
    <x v="23"/>
    <x v="4"/>
    <x v="1"/>
    <x v="0"/>
    <d v="2003-12-20T00:00:00"/>
    <d v="1968-05-11T00:00:00"/>
    <x v="1"/>
    <n v="1860"/>
    <n v="0.89"/>
    <n v="0.94"/>
    <n v="57"/>
    <n v="21"/>
    <n v="0.91500000000000004"/>
    <n v="-4.9999999999999933E-2"/>
  </r>
  <r>
    <n v="85"/>
    <n v="25908"/>
    <x v="24"/>
    <x v="5"/>
    <x v="1"/>
    <x v="0"/>
    <d v="2005-02-20T00:00:00"/>
    <d v="1972-11-15T00:00:00"/>
    <x v="1"/>
    <n v="8730"/>
    <n v="0.88"/>
    <n v="0.95"/>
    <n v="52"/>
    <n v="20"/>
    <n v="0.91500000000000004"/>
    <n v="-6.9999999999999951E-2"/>
  </r>
  <r>
    <n v="3"/>
    <n v="26446"/>
    <x v="7"/>
    <x v="6"/>
    <x v="2"/>
    <x v="1"/>
    <d v="2013-08-12T00:00:00"/>
    <d v="1982-02-08T00:00:00"/>
    <x v="0"/>
    <n v="25000"/>
    <n v="0.8"/>
    <n v="0.9"/>
    <n v="43"/>
    <n v="11"/>
    <n v="0.85"/>
    <n v="-9.9999999999999978E-2"/>
  </r>
  <r>
    <n v="9"/>
    <n v="26412"/>
    <x v="25"/>
    <x v="7"/>
    <x v="2"/>
    <x v="2"/>
    <d v="2008-11-15T00:00:00"/>
    <d v="1984-02-21T00:00:00"/>
    <x v="1"/>
    <n v="11492"/>
    <n v="0.81"/>
    <n v="0.77"/>
    <n v="41"/>
    <n v="16"/>
    <n v="0.79"/>
    <n v="4.0000000000000036E-2"/>
  </r>
  <r>
    <n v="30"/>
    <n v="25905"/>
    <x v="26"/>
    <x v="7"/>
    <x v="2"/>
    <x v="0"/>
    <d v="2014-04-20T00:00:00"/>
    <d v="1964-11-07T00:00:00"/>
    <x v="1"/>
    <n v="5578"/>
    <n v="0.76"/>
    <n v="0.97"/>
    <n v="60"/>
    <n v="10"/>
    <n v="0.86499999999999999"/>
    <n v="-0.20999999999999996"/>
  </r>
  <r>
    <n v="50"/>
    <n v="30350"/>
    <x v="23"/>
    <x v="7"/>
    <x v="2"/>
    <x v="2"/>
    <d v="2003-07-15T00:00:00"/>
    <d v="1969-12-02T00:00:00"/>
    <x v="1"/>
    <n v="6348"/>
    <n v="0.76"/>
    <n v="0.69"/>
    <n v="55"/>
    <n v="21"/>
    <n v="0.72499999999999998"/>
    <n v="7.0000000000000062E-2"/>
  </r>
  <r>
    <n v="58"/>
    <n v="30349"/>
    <x v="27"/>
    <x v="7"/>
    <x v="2"/>
    <x v="1"/>
    <d v="2016-08-16T00:00:00"/>
    <d v="1970-11-04T00:00:00"/>
    <x v="1"/>
    <n v="1952"/>
    <n v="0.83"/>
    <n v="0.76"/>
    <n v="54"/>
    <n v="8"/>
    <n v="0.79500000000000004"/>
    <n v="6.9999999999999951E-2"/>
  </r>
  <r>
    <n v="71"/>
    <n v="30460"/>
    <x v="28"/>
    <x v="7"/>
    <x v="2"/>
    <x v="2"/>
    <d v="2011-05-17T00:00:00"/>
    <d v="1976-12-06T00:00:00"/>
    <x v="1"/>
    <n v="18214"/>
    <n v="0.78"/>
    <n v="0.64"/>
    <n v="48"/>
    <n v="13"/>
    <n v="0.71"/>
    <n v="0.14000000000000001"/>
  </r>
  <r>
    <n v="3"/>
    <n v="26446"/>
    <x v="7"/>
    <x v="6"/>
    <x v="2"/>
    <x v="1"/>
    <d v="2013-08-12T00:00:00"/>
    <d v="1982-02-08T00:00:00"/>
    <x v="0"/>
    <n v="25000"/>
    <n v="0.8"/>
    <n v="0.9"/>
    <n v="43"/>
    <n v="11"/>
    <n v="0.85"/>
    <n v="-9.9999999999999978E-2"/>
  </r>
  <r>
    <n v="9"/>
    <n v="26412"/>
    <x v="25"/>
    <x v="7"/>
    <x v="2"/>
    <x v="2"/>
    <d v="2008-11-15T00:00:00"/>
    <d v="1984-02-21T00:00:00"/>
    <x v="1"/>
    <n v="11492"/>
    <n v="0.81"/>
    <n v="0.77"/>
    <n v="41"/>
    <n v="16"/>
    <n v="0.79"/>
    <n v="4.0000000000000036E-2"/>
  </r>
  <r>
    <n v="30"/>
    <n v="25905"/>
    <x v="26"/>
    <x v="7"/>
    <x v="2"/>
    <x v="0"/>
    <d v="2014-04-20T00:00:00"/>
    <d v="1964-11-07T00:00:00"/>
    <x v="1"/>
    <n v="5578"/>
    <n v="0.76"/>
    <n v="0.97"/>
    <n v="60"/>
    <n v="10"/>
    <n v="0.86499999999999999"/>
    <n v="-0.20999999999999996"/>
  </r>
  <r>
    <n v="50"/>
    <n v="30350"/>
    <x v="23"/>
    <x v="7"/>
    <x v="2"/>
    <x v="2"/>
    <d v="2003-07-15T00:00:00"/>
    <d v="1969-12-02T00:00:00"/>
    <x v="1"/>
    <n v="6348"/>
    <n v="0.76"/>
    <n v="0.69"/>
    <n v="55"/>
    <n v="21"/>
    <n v="0.72499999999999998"/>
    <n v="7.0000000000000062E-2"/>
  </r>
  <r>
    <n v="58"/>
    <n v="30349"/>
    <x v="27"/>
    <x v="7"/>
    <x v="2"/>
    <x v="1"/>
    <d v="2016-08-16T00:00:00"/>
    <d v="1970-11-04T00:00:00"/>
    <x v="1"/>
    <n v="1952"/>
    <n v="0.83"/>
    <n v="0.76"/>
    <n v="54"/>
    <n v="8"/>
    <n v="0.79500000000000004"/>
    <n v="6.9999999999999951E-2"/>
  </r>
  <r>
    <n v="71"/>
    <n v="30460"/>
    <x v="28"/>
    <x v="7"/>
    <x v="2"/>
    <x v="2"/>
    <d v="2011-05-17T00:00:00"/>
    <d v="1976-12-06T00:00:00"/>
    <x v="1"/>
    <n v="18214"/>
    <n v="0.78"/>
    <n v="0.64"/>
    <n v="48"/>
    <n v="13"/>
    <n v="0.71"/>
    <n v="0.14000000000000001"/>
  </r>
  <r>
    <n v="2"/>
    <n v="28127"/>
    <x v="29"/>
    <x v="8"/>
    <x v="3"/>
    <x v="2"/>
    <d v="2012-01-11T00:00:00"/>
    <d v="1965-09-04T00:00:00"/>
    <x v="0"/>
    <n v="21575"/>
    <n v="0.86"/>
    <n v="0.87"/>
    <n v="60"/>
    <n v="13"/>
    <n v="0.86499999999999999"/>
    <n v="-1.0000000000000009E-2"/>
  </r>
  <r>
    <n v="14"/>
    <n v="26422"/>
    <x v="23"/>
    <x v="9"/>
    <x v="3"/>
    <x v="0"/>
    <d v="2005-02-15T00:00:00"/>
    <d v="1963-11-18T00:00:00"/>
    <x v="1"/>
    <n v="19023"/>
    <n v="0.78"/>
    <n v="0.89"/>
    <n v="61"/>
    <n v="20"/>
    <n v="0.83499999999999996"/>
    <n v="-0.10999999999999999"/>
  </r>
  <r>
    <n v="15"/>
    <n v="26414"/>
    <x v="24"/>
    <x v="10"/>
    <x v="3"/>
    <x v="2"/>
    <d v="2010-04-24T00:00:00"/>
    <d v="1972-05-16T00:00:00"/>
    <x v="1"/>
    <n v="12801"/>
    <n v="0.75"/>
    <n v="0.76"/>
    <n v="53"/>
    <n v="14"/>
    <n v="0.755"/>
    <n v="-1.0000000000000009E-2"/>
  </r>
  <r>
    <n v="24"/>
    <n v="30352"/>
    <x v="30"/>
    <x v="10"/>
    <x v="3"/>
    <x v="0"/>
    <d v="2016-04-23T00:00:00"/>
    <d v="1970-12-22T00:00:00"/>
    <x v="1"/>
    <n v="16742"/>
    <n v="0.87"/>
    <n v="0.87"/>
    <n v="54"/>
    <n v="8"/>
    <n v="0.87"/>
    <n v="0"/>
  </r>
  <r>
    <n v="25"/>
    <n v="26726"/>
    <x v="31"/>
    <x v="10"/>
    <x v="3"/>
    <x v="0"/>
    <d v="2016-04-30T00:00:00"/>
    <d v="1983-09-28T00:00:00"/>
    <x v="1"/>
    <n v="15635"/>
    <n v="0.84"/>
    <n v="0.84"/>
    <n v="41"/>
    <n v="8"/>
    <n v="0.84"/>
    <n v="0"/>
  </r>
  <r>
    <n v="35"/>
    <n v="26431"/>
    <x v="32"/>
    <x v="9"/>
    <x v="3"/>
    <x v="2"/>
    <d v="2017-04-08T00:00:00"/>
    <d v="1984-02-21T00:00:00"/>
    <x v="1"/>
    <n v="20897"/>
    <n v="0.83"/>
    <n v="0.67"/>
    <n v="41"/>
    <n v="7"/>
    <n v="0.75"/>
    <n v="0.15999999999999992"/>
  </r>
  <r>
    <n v="36"/>
    <n v="26396"/>
    <x v="22"/>
    <x v="10"/>
    <x v="3"/>
    <x v="1"/>
    <d v="2013-09-10T00:00:00"/>
    <d v="1975-08-01T00:00:00"/>
    <x v="1"/>
    <n v="15730"/>
    <n v="0.86"/>
    <n v="0.53"/>
    <n v="50"/>
    <n v="11"/>
    <n v="0.69499999999999995"/>
    <n v="0.32999999999999996"/>
  </r>
  <r>
    <n v="44"/>
    <n v="26445"/>
    <x v="12"/>
    <x v="10"/>
    <x v="3"/>
    <x v="2"/>
    <d v="2008-08-11T00:00:00"/>
    <d v="1969-10-20T00:00:00"/>
    <x v="1"/>
    <n v="16861"/>
    <n v="0.87"/>
    <n v="0.52"/>
    <n v="55"/>
    <n v="16"/>
    <n v="0.69499999999999995"/>
    <n v="0.35"/>
  </r>
  <r>
    <n v="45"/>
    <n v="26400"/>
    <x v="25"/>
    <x v="10"/>
    <x v="3"/>
    <x v="0"/>
    <d v="2015-03-21T00:00:00"/>
    <d v="1970-10-15T00:00:00"/>
    <x v="1"/>
    <n v="5067"/>
    <n v="0.86"/>
    <n v="0.94"/>
    <n v="54"/>
    <n v="9"/>
    <n v="0.9"/>
    <n v="-7.999999999999996E-2"/>
  </r>
  <r>
    <n v="53"/>
    <n v="26443"/>
    <x v="33"/>
    <x v="10"/>
    <x v="3"/>
    <x v="2"/>
    <d v="2008-07-12T00:00:00"/>
    <d v="1970-02-09T00:00:00"/>
    <x v="1"/>
    <n v="12903"/>
    <n v="0.77"/>
    <n v="0.75"/>
    <n v="55"/>
    <n v="16"/>
    <n v="0.76"/>
    <n v="2.0000000000000018E-2"/>
  </r>
  <r>
    <n v="63"/>
    <n v="26610"/>
    <x v="13"/>
    <x v="9"/>
    <x v="3"/>
    <x v="0"/>
    <d v="2018-01-21T00:00:00"/>
    <d v="1974-06-20T00:00:00"/>
    <x v="1"/>
    <n v="4388"/>
    <n v="0.86"/>
    <n v="0.47"/>
    <n v="51"/>
    <n v="6"/>
    <n v="0.66500000000000004"/>
    <n v="0.39"/>
  </r>
  <r>
    <n v="64"/>
    <n v="26404"/>
    <x v="14"/>
    <x v="10"/>
    <x v="3"/>
    <x v="0"/>
    <d v="2018-12-29T00:00:00"/>
    <d v="1974-05-18T00:00:00"/>
    <x v="1"/>
    <n v="15454"/>
    <n v="0.87"/>
    <n v="0.94"/>
    <n v="51"/>
    <n v="5"/>
    <n v="0.90500000000000003"/>
    <n v="-6.9999999999999951E-2"/>
  </r>
  <r>
    <n v="65"/>
    <n v="26402"/>
    <x v="26"/>
    <x v="10"/>
    <x v="3"/>
    <x v="2"/>
    <d v="2003-02-24T00:00:00"/>
    <d v="1968-10-13T00:00:00"/>
    <x v="1"/>
    <n v="24472"/>
    <n v="0.84"/>
    <n v="0.52"/>
    <n v="56"/>
    <n v="22"/>
    <n v="0.68"/>
    <n v="0.31999999999999995"/>
  </r>
  <r>
    <n v="66"/>
    <n v="26427"/>
    <x v="34"/>
    <x v="10"/>
    <x v="3"/>
    <x v="2"/>
    <d v="2003-07-15T00:00:00"/>
    <d v="1964-11-27T00:00:00"/>
    <x v="1"/>
    <n v="15992"/>
    <n v="0.82"/>
    <n v="0.91"/>
    <n v="60"/>
    <n v="21"/>
    <n v="0.86499999999999999"/>
    <n v="-9.000000000000008E-2"/>
  </r>
  <r>
    <n v="76"/>
    <n v="26999"/>
    <x v="35"/>
    <x v="9"/>
    <x v="3"/>
    <x v="2"/>
    <d v="2016-05-25T00:00:00"/>
    <d v="1966-08-13T00:00:00"/>
    <x v="1"/>
    <n v="21183"/>
    <n v="0.85"/>
    <n v="0.66"/>
    <n v="59"/>
    <n v="8"/>
    <n v="0.755"/>
    <n v="0.18999999999999995"/>
  </r>
  <r>
    <n v="77"/>
    <n v="28929"/>
    <x v="10"/>
    <x v="10"/>
    <x v="3"/>
    <x v="2"/>
    <d v="2014-05-24T00:00:00"/>
    <d v="1969-11-25T00:00:00"/>
    <x v="1"/>
    <n v="22459"/>
    <n v="0.86"/>
    <n v="0.43"/>
    <n v="55"/>
    <n v="10"/>
    <n v="0.64500000000000002"/>
    <n v="0.43"/>
  </r>
  <r>
    <n v="87"/>
    <n v="26447"/>
    <x v="33"/>
    <x v="9"/>
    <x v="3"/>
    <x v="0"/>
    <d v="2008-08-09T00:00:00"/>
    <d v="1980-05-01T00:00:00"/>
    <x v="1"/>
    <n v="2227"/>
    <n v="0.8"/>
    <n v="0.59"/>
    <n v="45"/>
    <n v="16"/>
    <n v="0.69499999999999995"/>
    <n v="0.21000000000000008"/>
  </r>
  <r>
    <n v="88"/>
    <n v="28227"/>
    <x v="17"/>
    <x v="10"/>
    <x v="3"/>
    <x v="0"/>
    <d v="2008-11-15T00:00:00"/>
    <d v="1972-04-06T00:00:00"/>
    <x v="1"/>
    <n v="1673"/>
    <n v="0.78"/>
    <n v="0.78"/>
    <n v="53"/>
    <n v="16"/>
    <n v="0.78"/>
    <n v="0"/>
  </r>
  <r>
    <n v="5"/>
    <n v="27375"/>
    <x v="35"/>
    <x v="11"/>
    <x v="4"/>
    <x v="0"/>
    <d v="2000-08-03T00:00:00"/>
    <d v="1980-03-01T00:00:00"/>
    <x v="1"/>
    <n v="35000"/>
    <n v="0.89"/>
    <n v="0.52"/>
    <n v="45"/>
    <n v="24"/>
    <n v="0.70499999999999996"/>
    <n v="0.37"/>
  </r>
  <r>
    <n v="10"/>
    <n v="30377"/>
    <x v="15"/>
    <x v="12"/>
    <x v="4"/>
    <x v="2"/>
    <d v="2010-07-03T00:00:00"/>
    <d v="1969-12-13T00:00:00"/>
    <x v="2"/>
    <n v="17456"/>
    <n v="0.87"/>
    <n v="0.97"/>
    <n v="55"/>
    <n v="14"/>
    <n v="0.92"/>
    <n v="-9.9999999999999978E-2"/>
  </r>
  <r>
    <n v="11"/>
    <n v="29369"/>
    <x v="16"/>
    <x v="12"/>
    <x v="4"/>
    <x v="2"/>
    <d v="2015-11-18T00:00:00"/>
    <d v="1978-11-13T00:00:00"/>
    <x v="2"/>
    <n v="7943"/>
    <n v="0.75"/>
    <n v="0.7"/>
    <n v="46"/>
    <n v="9"/>
    <n v="0.72499999999999998"/>
    <n v="5.0000000000000044E-2"/>
  </r>
  <r>
    <n v="16"/>
    <n v="27142"/>
    <x v="8"/>
    <x v="12"/>
    <x v="4"/>
    <x v="2"/>
    <d v="2011-05-25T00:00:00"/>
    <d v="1971-06-18T00:00:00"/>
    <x v="2"/>
    <n v="16613"/>
    <n v="0.84"/>
    <n v="0.42"/>
    <n v="54"/>
    <n v="13"/>
    <n v="0.63"/>
    <n v="0.42"/>
  </r>
  <r>
    <n v="17"/>
    <n v="27650"/>
    <x v="33"/>
    <x v="12"/>
    <x v="4"/>
    <x v="2"/>
    <d v="2011-07-02T00:00:00"/>
    <d v="1979-12-05T00:00:00"/>
    <x v="2"/>
    <n v="6329"/>
    <n v="0.81"/>
    <n v="0.71"/>
    <n v="45"/>
    <n v="13"/>
    <n v="0.76"/>
    <n v="0.10000000000000009"/>
  </r>
  <r>
    <n v="18"/>
    <n v="25906"/>
    <x v="17"/>
    <x v="12"/>
    <x v="4"/>
    <x v="0"/>
    <d v="2013-08-12T00:00:00"/>
    <d v="1981-03-19T00:00:00"/>
    <x v="2"/>
    <n v="17215"/>
    <n v="0.8"/>
    <n v="0.87"/>
    <n v="44"/>
    <n v="11"/>
    <n v="0.83499999999999996"/>
    <n v="-6.9999999999999951E-2"/>
  </r>
  <r>
    <n v="19"/>
    <n v="26439"/>
    <x v="18"/>
    <x v="12"/>
    <x v="4"/>
    <x v="1"/>
    <d v="2014-09-23T00:00:00"/>
    <d v="1969-01-10T00:00:00"/>
    <x v="2"/>
    <n v="4799"/>
    <n v="0.86"/>
    <n v="0.64"/>
    <n v="56"/>
    <n v="10"/>
    <n v="0.75"/>
    <n v="0.21999999999999997"/>
  </r>
  <r>
    <n v="20"/>
    <n v="26438"/>
    <x v="19"/>
    <x v="12"/>
    <x v="4"/>
    <x v="1"/>
    <d v="2014-10-11T00:00:00"/>
    <d v="1969-01-07T00:00:00"/>
    <x v="2"/>
    <n v="18547"/>
    <n v="0.82"/>
    <n v="0.65"/>
    <n v="56"/>
    <n v="10"/>
    <n v="0.73499999999999999"/>
    <n v="0.16999999999999993"/>
  </r>
  <r>
    <n v="21"/>
    <n v="31456"/>
    <x v="20"/>
    <x v="12"/>
    <x v="4"/>
    <x v="2"/>
    <d v="2015-04-11T00:00:00"/>
    <d v="1963-10-28T00:00:00"/>
    <x v="2"/>
    <n v="4649"/>
    <n v="0.75"/>
    <n v="0.78"/>
    <n v="61"/>
    <n v="9"/>
    <n v="0.76500000000000001"/>
    <n v="-3.0000000000000027E-2"/>
  </r>
  <r>
    <n v="22"/>
    <n v="27141"/>
    <x v="27"/>
    <x v="12"/>
    <x v="4"/>
    <x v="0"/>
    <d v="2015-04-11T00:00:00"/>
    <d v="1984-05-06T00:00:00"/>
    <x v="2"/>
    <n v="15173"/>
    <n v="0.85"/>
    <n v="0.96"/>
    <n v="41"/>
    <n v="9"/>
    <n v="0.90500000000000003"/>
    <n v="-0.10999999999999999"/>
  </r>
  <r>
    <n v="23"/>
    <n v="26448"/>
    <x v="36"/>
    <x v="12"/>
    <x v="4"/>
    <x v="0"/>
    <d v="2016-04-09T00:00:00"/>
    <d v="1983-06-20T00:00:00"/>
    <x v="2"/>
    <n v="18240"/>
    <n v="0.89"/>
    <n v="0.61"/>
    <n v="42"/>
    <n v="8"/>
    <n v="0.75"/>
    <n v="0.28000000000000003"/>
  </r>
  <r>
    <n v="31"/>
    <n v="26437"/>
    <x v="34"/>
    <x v="12"/>
    <x v="4"/>
    <x v="0"/>
    <d v="2014-10-11T00:00:00"/>
    <d v="1976-08-16T00:00:00"/>
    <x v="2"/>
    <n v="3445"/>
    <n v="0.78"/>
    <n v="0.65"/>
    <n v="48"/>
    <n v="10"/>
    <n v="0.71499999999999997"/>
    <n v="0.13"/>
  </r>
  <r>
    <n v="32"/>
    <n v="27960"/>
    <x v="21"/>
    <x v="12"/>
    <x v="4"/>
    <x v="2"/>
    <d v="2016-02-17T00:00:00"/>
    <d v="1964-09-21T00:00:00"/>
    <x v="2"/>
    <n v="13889"/>
    <n v="0.85"/>
    <n v="0.61"/>
    <n v="61"/>
    <n v="8"/>
    <n v="0.73"/>
    <n v="0.24"/>
  </r>
  <r>
    <n v="37"/>
    <n v="27003"/>
    <x v="28"/>
    <x v="12"/>
    <x v="4"/>
    <x v="0"/>
    <d v="2018-01-21T00:00:00"/>
    <d v="1980-02-05T00:00:00"/>
    <x v="2"/>
    <n v="23467"/>
    <n v="0.79"/>
    <n v="0.95"/>
    <n v="45"/>
    <n v="6"/>
    <n v="0.87"/>
    <n v="-0.15999999999999992"/>
  </r>
  <r>
    <n v="38"/>
    <n v="26440"/>
    <x v="37"/>
    <x v="12"/>
    <x v="4"/>
    <x v="2"/>
    <d v="2018-01-21T00:00:00"/>
    <d v="1977-08-27T00:00:00"/>
    <x v="2"/>
    <n v="2486"/>
    <n v="0.83"/>
    <n v="0.67"/>
    <n v="47"/>
    <n v="6"/>
    <n v="0.75"/>
    <n v="0.15999999999999992"/>
  </r>
  <r>
    <n v="39"/>
    <n v="26433"/>
    <x v="9"/>
    <x v="12"/>
    <x v="4"/>
    <x v="2"/>
    <d v="2018-01-21T00:00:00"/>
    <d v="1964-04-30T00:00:00"/>
    <x v="2"/>
    <n v="9365"/>
    <n v="0.84"/>
    <n v="0.4"/>
    <n v="61"/>
    <n v="6"/>
    <n v="0.62"/>
    <n v="0.43999999999999995"/>
  </r>
  <r>
    <n v="40"/>
    <n v="31457"/>
    <x v="7"/>
    <x v="12"/>
    <x v="4"/>
    <x v="0"/>
    <d v="1999-06-01T00:00:00"/>
    <d v="1964-06-04T00:00:00"/>
    <x v="2"/>
    <n v="22438"/>
    <n v="0.82"/>
    <n v="0.56999999999999995"/>
    <n v="61"/>
    <n v="25"/>
    <n v="0.69499999999999995"/>
    <n v="0.25"/>
  </r>
  <r>
    <n v="41"/>
    <n v="27648"/>
    <x v="0"/>
    <x v="12"/>
    <x v="4"/>
    <x v="0"/>
    <d v="2004-05-08T00:00:00"/>
    <d v="1989-08-23T00:00:00"/>
    <x v="2"/>
    <n v="20869"/>
    <n v="0.77"/>
    <n v="0.41"/>
    <n v="35"/>
    <n v="20"/>
    <n v="0.59"/>
    <n v="0.36000000000000004"/>
  </r>
  <r>
    <n v="42"/>
    <n v="27858"/>
    <x v="35"/>
    <x v="12"/>
    <x v="4"/>
    <x v="2"/>
    <d v="2011-11-03T00:00:00"/>
    <d v="1978-05-11T00:00:00"/>
    <x v="2"/>
    <n v="1428"/>
    <n v="0.87"/>
    <n v="0.96"/>
    <n v="47"/>
    <n v="13"/>
    <n v="0.91500000000000004"/>
    <n v="-8.9999999999999969E-2"/>
  </r>
  <r>
    <n v="43"/>
    <n v="26444"/>
    <x v="10"/>
    <x v="12"/>
    <x v="4"/>
    <x v="0"/>
    <d v="1998-03-14T00:00:00"/>
    <d v="1978-10-19T00:00:00"/>
    <x v="2"/>
    <n v="16767"/>
    <n v="0.84"/>
    <n v="0.69"/>
    <n v="46"/>
    <n v="27"/>
    <n v="0.76500000000000001"/>
    <n v="0.15000000000000002"/>
  </r>
  <r>
    <n v="51"/>
    <n v="28126"/>
    <x v="24"/>
    <x v="12"/>
    <x v="4"/>
    <x v="0"/>
    <d v="2006-08-01T00:00:00"/>
    <d v="1977-02-10T00:00:00"/>
    <x v="2"/>
    <n v="12122"/>
    <n v="0.76"/>
    <n v="0.67"/>
    <n v="48"/>
    <n v="18"/>
    <n v="0.71499999999999997"/>
    <n v="8.9999999999999969E-2"/>
  </r>
  <r>
    <n v="52"/>
    <n v="26413"/>
    <x v="8"/>
    <x v="12"/>
    <x v="4"/>
    <x v="2"/>
    <d v="2007-03-03T00:00:00"/>
    <d v="1969-06-02T00:00:00"/>
    <x v="2"/>
    <n v="24004"/>
    <n v="0.81"/>
    <n v="0.77"/>
    <n v="56"/>
    <n v="17"/>
    <n v="0.79"/>
    <n v="4.0000000000000036E-2"/>
  </r>
  <r>
    <n v="59"/>
    <n v="26347"/>
    <x v="36"/>
    <x v="12"/>
    <x v="4"/>
    <x v="2"/>
    <d v="2016-07-25T00:00:00"/>
    <d v="1989-04-01T00:00:00"/>
    <x v="2"/>
    <n v="7329"/>
    <n v="0.86"/>
    <n v="0.61"/>
    <n v="36"/>
    <n v="8"/>
    <n v="0.73499999999999999"/>
    <n v="0.25"/>
  </r>
  <r>
    <n v="60"/>
    <n v="26430"/>
    <x v="31"/>
    <x v="12"/>
    <x v="4"/>
    <x v="2"/>
    <d v="2014-11-08T00:00:00"/>
    <d v="1970-08-23T00:00:00"/>
    <x v="2"/>
    <n v="20603"/>
    <n v="0.88"/>
    <n v="0.76"/>
    <n v="55"/>
    <n v="10"/>
    <n v="0.82"/>
    <n v="0.12"/>
  </r>
  <r>
    <n v="72"/>
    <n v="26991"/>
    <x v="37"/>
    <x v="12"/>
    <x v="4"/>
    <x v="0"/>
    <d v="2012-02-13T00:00:00"/>
    <d v="1980-02-05T00:00:00"/>
    <x v="2"/>
    <n v="18091"/>
    <n v="0.84"/>
    <n v="0.91"/>
    <n v="45"/>
    <n v="12"/>
    <n v="0.875"/>
    <n v="-7.0000000000000062E-2"/>
  </r>
  <r>
    <n v="73"/>
    <n v="27618"/>
    <x v="9"/>
    <x v="12"/>
    <x v="4"/>
    <x v="0"/>
    <d v="2015-02-01T00:00:00"/>
    <d v="1972-03-04T00:00:00"/>
    <x v="2"/>
    <n v="21390"/>
    <n v="0.76"/>
    <n v="0.89"/>
    <n v="53"/>
    <n v="9"/>
    <n v="0.82499999999999996"/>
    <n v="-0.13"/>
  </r>
  <r>
    <n v="78"/>
    <n v="28166"/>
    <x v="12"/>
    <x v="12"/>
    <x v="4"/>
    <x v="2"/>
    <d v="2016-04-16T00:00:00"/>
    <d v="1983-08-08T00:00:00"/>
    <x v="2"/>
    <n v="13943"/>
    <n v="0.78"/>
    <n v="0.78"/>
    <n v="41"/>
    <n v="8"/>
    <n v="0.78"/>
    <n v="0"/>
  </r>
  <r>
    <n v="79"/>
    <n v="27004"/>
    <x v="25"/>
    <x v="12"/>
    <x v="4"/>
    <x v="2"/>
    <d v="1996-06-01T00:00:00"/>
    <d v="1977-02-01T00:00:00"/>
    <x v="2"/>
    <n v="9011"/>
    <n v="0.79"/>
    <n v="0.46"/>
    <n v="48"/>
    <n v="28"/>
    <n v="0.625"/>
    <n v="0.33"/>
  </r>
  <r>
    <n v="80"/>
    <n v="27649"/>
    <x v="15"/>
    <x v="12"/>
    <x v="4"/>
    <x v="2"/>
    <d v="1996-11-20T00:00:00"/>
    <d v="1979-04-25T00:00:00"/>
    <x v="2"/>
    <n v="5390"/>
    <n v="0.81"/>
    <n v="0.4"/>
    <n v="46"/>
    <n v="28"/>
    <n v="0.60499999999999998"/>
    <n v="0.41000000000000003"/>
  </r>
  <r>
    <n v="81"/>
    <n v="26998"/>
    <x v="16"/>
    <x v="12"/>
    <x v="4"/>
    <x v="2"/>
    <d v="1998-06-20T00:00:00"/>
    <d v="1976-01-15T00:00:00"/>
    <x v="2"/>
    <n v="19015"/>
    <n v="0.84"/>
    <n v="0.65"/>
    <n v="49"/>
    <n v="26"/>
    <n v="0.745"/>
    <n v="0.18999999999999995"/>
  </r>
  <r>
    <n v="82"/>
    <n v="31455"/>
    <x v="1"/>
    <x v="12"/>
    <x v="4"/>
    <x v="1"/>
    <d v="2001-01-13T00:00:00"/>
    <d v="1979-09-26T00:00:00"/>
    <x v="2"/>
    <n v="8138"/>
    <n v="0.82"/>
    <n v="0.83"/>
    <n v="45"/>
    <n v="24"/>
    <n v="0.82499999999999996"/>
    <n v="-1.0000000000000009E-2"/>
  </r>
  <r>
    <n v="89"/>
    <n v="26425"/>
    <x v="18"/>
    <x v="12"/>
    <x v="4"/>
    <x v="1"/>
    <d v="2012-10-09T00:00:00"/>
    <d v="1972-05-20T00:00:00"/>
    <x v="2"/>
    <n v="5061"/>
    <n v="0.75"/>
    <n v="0.67"/>
    <n v="53"/>
    <n v="12"/>
    <n v="0.71"/>
    <n v="7.999999999999996E-2"/>
  </r>
  <r>
    <n v="90"/>
    <n v="26421"/>
    <x v="19"/>
    <x v="12"/>
    <x v="4"/>
    <x v="0"/>
    <d v="2013-04-14T00:00:00"/>
    <d v="1973-11-24T00:00:00"/>
    <x v="2"/>
    <n v="8005"/>
    <n v="0.85"/>
    <n v="0.75"/>
    <n v="51"/>
    <n v="11"/>
    <n v="0.8"/>
    <n v="9.9999999999999978E-2"/>
  </r>
  <r>
    <n v="91"/>
    <n v="26419"/>
    <x v="20"/>
    <x v="12"/>
    <x v="4"/>
    <x v="2"/>
    <d v="2013-11-16T00:00:00"/>
    <d v="1970-03-28T00:00:00"/>
    <x v="2"/>
    <n v="7002"/>
    <n v="0.87"/>
    <n v="0.6"/>
    <n v="55"/>
    <n v="11"/>
    <n v="0.73499999999999999"/>
    <n v="0.27"/>
  </r>
  <r>
    <n v="92"/>
    <n v="28927"/>
    <x v="27"/>
    <x v="12"/>
    <x v="4"/>
    <x v="0"/>
    <d v="2014-04-01T00:00:00"/>
    <d v="1969-02-20T00:00:00"/>
    <x v="2"/>
    <n v="23284"/>
    <n v="0.75"/>
    <n v="0.84"/>
    <n v="56"/>
    <n v="10"/>
    <n v="0.79500000000000004"/>
    <n v="-8.9999999999999969E-2"/>
  </r>
  <r>
    <n v="93"/>
    <n v="26748"/>
    <x v="36"/>
    <x v="12"/>
    <x v="4"/>
    <x v="0"/>
    <d v="2014-05-12T00:00:00"/>
    <d v="1982-02-03T00:00:00"/>
    <x v="2"/>
    <n v="20019"/>
    <n v="0.89"/>
    <n v="0.78"/>
    <n v="43"/>
    <n v="10"/>
    <n v="0.83499999999999996"/>
    <n v="0.10999999999999999"/>
  </r>
  <r>
    <n v="94"/>
    <n v="27494"/>
    <x v="31"/>
    <x v="12"/>
    <x v="4"/>
    <x v="2"/>
    <d v="2014-05-12T00:00:00"/>
    <d v="1978-10-29T00:00:00"/>
    <x v="2"/>
    <n v="11645"/>
    <n v="0.8"/>
    <n v="0.62"/>
    <n v="46"/>
    <n v="10"/>
    <n v="0.71"/>
    <n v="0.18000000000000005"/>
  </r>
  <r>
    <n v="4"/>
    <n v="29769"/>
    <x v="0"/>
    <x v="0"/>
    <x v="0"/>
    <x v="0"/>
    <d v="2013-08-13T00:00:00"/>
    <d v="1972-07-14T00:00:00"/>
    <x v="0"/>
    <n v="26520"/>
    <n v="0.81"/>
    <n v="0.66"/>
    <n v="53"/>
    <n v="11"/>
    <n v="0.73499999999999999"/>
    <n v="0.15000000000000002"/>
  </r>
  <r>
    <n v="12"/>
    <n v="26401"/>
    <x v="1"/>
    <x v="1"/>
    <x v="0"/>
    <x v="0"/>
    <d v="2016-04-17T00:00:00"/>
    <d v="1970-05-29T00:00:00"/>
    <x v="1"/>
    <n v="16455"/>
    <n v="0.75"/>
    <n v="0.92"/>
    <n v="55"/>
    <n v="8"/>
    <n v="0.83499999999999996"/>
    <n v="-0.17000000000000004"/>
  </r>
  <r>
    <n v="13"/>
    <n v="26435"/>
    <x v="2"/>
    <x v="1"/>
    <x v="0"/>
    <x v="1"/>
    <d v="2001-08-28T00:00:00"/>
    <d v="1962-09-21T00:00:00"/>
    <x v="1"/>
    <n v="4981"/>
    <n v="0.77"/>
    <n v="0.86"/>
    <n v="63"/>
    <n v="23"/>
    <n v="0.81499999999999995"/>
    <n v="-8.9999999999999969E-2"/>
  </r>
  <r>
    <n v="33"/>
    <n v="26410"/>
    <x v="3"/>
    <x v="1"/>
    <x v="0"/>
    <x v="1"/>
    <d v="2016-02-17T00:00:00"/>
    <d v="1975-08-20T00:00:00"/>
    <x v="1"/>
    <n v="3165"/>
    <n v="0.84"/>
    <n v="0.78"/>
    <n v="49"/>
    <n v="8"/>
    <n v="0.81"/>
    <n v="5.9999999999999942E-2"/>
  </r>
  <r>
    <n v="34"/>
    <n v="27385"/>
    <x v="4"/>
    <x v="1"/>
    <x v="0"/>
    <x v="2"/>
    <d v="2016-04-02T00:00:00"/>
    <d v="1967-11-09T00:00:00"/>
    <x v="1"/>
    <n v="20883"/>
    <n v="0.85"/>
    <n v="0.76"/>
    <n v="57"/>
    <n v="8"/>
    <n v="0.80500000000000005"/>
    <n v="8.9999999999999969E-2"/>
  </r>
  <r>
    <n v="61"/>
    <n v="26389"/>
    <x v="5"/>
    <x v="1"/>
    <x v="0"/>
    <x v="0"/>
    <d v="2017-12-02T00:00:00"/>
    <d v="1959-05-25T00:00:00"/>
    <x v="1"/>
    <n v="13380"/>
    <n v="0.8"/>
    <n v="0.72"/>
    <n v="66"/>
    <n v="7"/>
    <n v="0.76"/>
    <n v="8.0000000000000071E-2"/>
  </r>
  <r>
    <n v="62"/>
    <n v="30459"/>
    <x v="6"/>
    <x v="1"/>
    <x v="0"/>
    <x v="1"/>
    <d v="2018-12-10T00:00:00"/>
    <d v="1969-08-23T00:00:00"/>
    <x v="1"/>
    <n v="18856"/>
    <n v="0.81"/>
    <n v="0.48"/>
    <n v="56"/>
    <n v="6"/>
    <n v="0.64500000000000002"/>
    <n v="0.33000000000000007"/>
  </r>
  <r>
    <n v="74"/>
    <n v="27780"/>
    <x v="7"/>
    <x v="1"/>
    <x v="0"/>
    <x v="1"/>
    <d v="2016-02-03T00:00:00"/>
    <d v="1983-05-09T00:00:00"/>
    <x v="1"/>
    <n v="13891"/>
    <n v="0.86"/>
    <n v="0.97"/>
    <n v="42"/>
    <n v="8"/>
    <n v="0.91500000000000004"/>
    <n v="-0.10999999999999999"/>
  </r>
  <r>
    <n v="75"/>
    <n v="25907"/>
    <x v="0"/>
    <x v="1"/>
    <x v="0"/>
    <x v="2"/>
    <d v="2016-02-17T00:00:00"/>
    <d v="1977-02-01T00:00:00"/>
    <x v="1"/>
    <n v="19451"/>
    <n v="0.77"/>
    <n v="0.63"/>
    <n v="48"/>
    <n v="8"/>
    <n v="0.7"/>
    <n v="0.14000000000000001"/>
  </r>
  <r>
    <n v="86"/>
    <n v="27144"/>
    <x v="8"/>
    <x v="1"/>
    <x v="0"/>
    <x v="0"/>
    <d v="2007-01-20T00:00:00"/>
    <d v="1967-12-01T00:00:00"/>
    <x v="1"/>
    <n v="2185"/>
    <n v="0.79"/>
    <n v="0.65"/>
    <n v="57"/>
    <n v="18"/>
    <n v="0.72"/>
    <n v="0.14000000000000001"/>
  </r>
  <r>
    <n v="1"/>
    <n v="26434"/>
    <x v="9"/>
    <x v="2"/>
    <x v="1"/>
    <x v="2"/>
    <d v="2006-11-15T00:00:00"/>
    <d v="1980-11-12T00:00:00"/>
    <x v="1"/>
    <n v="20500"/>
    <n v="0.82"/>
    <n v="0.86"/>
    <n v="44"/>
    <n v="18"/>
    <n v="0.84"/>
    <n v="-4.0000000000000036E-2"/>
  </r>
  <r>
    <n v="6"/>
    <n v="27154"/>
    <x v="10"/>
    <x v="3"/>
    <x v="1"/>
    <x v="2"/>
    <d v="2001-08-18T00:00:00"/>
    <d v="1966-07-08T00:00:00"/>
    <x v="1"/>
    <n v="17233"/>
    <n v="0.89"/>
    <n v="0.41"/>
    <n v="59"/>
    <n v="23"/>
    <n v="0.65"/>
    <n v="0.48000000000000004"/>
  </r>
  <r>
    <n v="7"/>
    <n v="27008"/>
    <x v="11"/>
    <x v="4"/>
    <x v="1"/>
    <x v="1"/>
    <d v="2003-05-17T00:00:00"/>
    <d v="1982-09-01T00:00:00"/>
    <x v="1"/>
    <n v="19987"/>
    <n v="0.76"/>
    <n v="0.55000000000000004"/>
    <n v="42"/>
    <n v="21"/>
    <n v="0.65500000000000003"/>
    <n v="0.20999999999999996"/>
  </r>
  <r>
    <n v="8"/>
    <n v="27621"/>
    <x v="12"/>
    <x v="5"/>
    <x v="1"/>
    <x v="0"/>
    <d v="2008-06-01T00:00:00"/>
    <d v="1981-02-08T00:00:00"/>
    <x v="1"/>
    <n v="23537"/>
    <n v="0.87"/>
    <n v="0.69"/>
    <n v="44"/>
    <n v="16"/>
    <n v="0.78"/>
    <n v="0.18000000000000005"/>
  </r>
  <r>
    <n v="26"/>
    <n v="27374"/>
    <x v="5"/>
    <x v="4"/>
    <x v="1"/>
    <x v="2"/>
    <d v="2016-05-01T00:00:00"/>
    <d v="1975-07-28T00:00:00"/>
    <x v="1"/>
    <n v="7935"/>
    <n v="0.83"/>
    <n v="0.41"/>
    <n v="50"/>
    <n v="8"/>
    <n v="0.62"/>
    <n v="0.42"/>
  </r>
  <r>
    <n v="27"/>
    <n v="29368"/>
    <x v="6"/>
    <x v="3"/>
    <x v="1"/>
    <x v="1"/>
    <d v="2016-05-25T00:00:00"/>
    <d v="1973-11-14T00:00:00"/>
    <x v="1"/>
    <n v="20121"/>
    <n v="0.8"/>
    <n v="0.64"/>
    <n v="51"/>
    <n v="8"/>
    <n v="0.72"/>
    <n v="0.16000000000000003"/>
  </r>
  <r>
    <n v="28"/>
    <n v="27092"/>
    <x v="13"/>
    <x v="4"/>
    <x v="1"/>
    <x v="2"/>
    <d v="2016-08-15T00:00:00"/>
    <d v="1981-04-12T00:00:00"/>
    <x v="1"/>
    <n v="16408"/>
    <n v="0.76"/>
    <n v="0.91"/>
    <n v="44"/>
    <n v="8"/>
    <n v="0.83499999999999996"/>
    <n v="-0.15000000000000002"/>
  </r>
  <r>
    <n v="29"/>
    <n v="26429"/>
    <x v="14"/>
    <x v="5"/>
    <x v="1"/>
    <x v="1"/>
    <d v="1995-11-26T00:00:00"/>
    <d v="1982-08-15T00:00:00"/>
    <x v="1"/>
    <n v="2323"/>
    <n v="0.83"/>
    <n v="0.75"/>
    <n v="42"/>
    <n v="29"/>
    <n v="0.79"/>
    <n v="7.999999999999996E-2"/>
  </r>
  <r>
    <n v="46"/>
    <n v="26994"/>
    <x v="15"/>
    <x v="4"/>
    <x v="1"/>
    <x v="2"/>
    <d v="1998-03-01T00:00:00"/>
    <d v="1965-12-15T00:00:00"/>
    <x v="1"/>
    <n v="6553"/>
    <n v="0.75"/>
    <n v="0.75"/>
    <n v="59"/>
    <n v="27"/>
    <n v="0.75"/>
    <n v="0"/>
  </r>
  <r>
    <n v="47"/>
    <n v="27007"/>
    <x v="16"/>
    <x v="3"/>
    <x v="1"/>
    <x v="2"/>
    <d v="2000-01-19T00:00:00"/>
    <d v="1977-10-25T00:00:00"/>
    <x v="1"/>
    <n v="13054"/>
    <n v="0.82"/>
    <n v="0.48"/>
    <n v="47"/>
    <n v="25"/>
    <n v="0.65"/>
    <n v="0.33999999999999997"/>
  </r>
  <r>
    <n v="48"/>
    <n v="26424"/>
    <x v="1"/>
    <x v="4"/>
    <x v="1"/>
    <x v="2"/>
    <d v="2001-08-15T00:00:00"/>
    <d v="1974-04-11T00:00:00"/>
    <x v="1"/>
    <n v="20909"/>
    <n v="0.88"/>
    <n v="0.46"/>
    <n v="51"/>
    <n v="23"/>
    <n v="0.67"/>
    <n v="0.42"/>
  </r>
  <r>
    <n v="49"/>
    <n v="26415"/>
    <x v="2"/>
    <x v="5"/>
    <x v="1"/>
    <x v="1"/>
    <d v="2002-07-23T00:00:00"/>
    <d v="1969-08-12T00:00:00"/>
    <x v="1"/>
    <n v="23771"/>
    <n v="0.88"/>
    <n v="0.63"/>
    <n v="56"/>
    <n v="22"/>
    <n v="0.755"/>
    <n v="0.25"/>
  </r>
  <r>
    <n v="54"/>
    <n v="27143"/>
    <x v="17"/>
    <x v="4"/>
    <x v="1"/>
    <x v="2"/>
    <d v="2014-04-19T00:00:00"/>
    <d v="1969-08-19T00:00:00"/>
    <x v="1"/>
    <n v="8529"/>
    <n v="0.83"/>
    <n v="0.77"/>
    <n v="56"/>
    <n v="10"/>
    <n v="0.8"/>
    <n v="5.9999999999999942E-2"/>
  </r>
  <r>
    <n v="55"/>
    <n v="27393"/>
    <x v="18"/>
    <x v="3"/>
    <x v="1"/>
    <x v="0"/>
    <d v="2014-12-04T00:00:00"/>
    <d v="1980-11-02T00:00:00"/>
    <x v="1"/>
    <n v="3453"/>
    <n v="0.87"/>
    <n v="0.83"/>
    <n v="44"/>
    <n v="10"/>
    <n v="0.85"/>
    <n v="4.0000000000000036E-2"/>
  </r>
  <r>
    <n v="56"/>
    <n v="30351"/>
    <x v="19"/>
    <x v="4"/>
    <x v="1"/>
    <x v="0"/>
    <d v="2015-02-18T00:00:00"/>
    <d v="1974-03-10T00:00:00"/>
    <x v="1"/>
    <n v="14170"/>
    <n v="0.77"/>
    <n v="0.89"/>
    <n v="51"/>
    <n v="9"/>
    <n v="0.83"/>
    <n v="-0.12"/>
  </r>
  <r>
    <n v="57"/>
    <n v="26441"/>
    <x v="20"/>
    <x v="5"/>
    <x v="1"/>
    <x v="1"/>
    <d v="2016-08-15T00:00:00"/>
    <d v="1984-11-01T00:00:00"/>
    <x v="1"/>
    <n v="3254"/>
    <n v="0.81"/>
    <n v="0.85"/>
    <n v="40"/>
    <n v="8"/>
    <n v="0.83"/>
    <n v="-3.9999999999999925E-2"/>
  </r>
  <r>
    <n v="67"/>
    <n v="27009"/>
    <x v="21"/>
    <x v="4"/>
    <x v="1"/>
    <x v="0"/>
    <d v="2006-04-09T00:00:00"/>
    <d v="1967-11-05T00:00:00"/>
    <x v="1"/>
    <n v="5735"/>
    <n v="0.82"/>
    <n v="0.69"/>
    <n v="57"/>
    <n v="18"/>
    <n v="0.755"/>
    <n v="0.13"/>
  </r>
  <r>
    <n v="68"/>
    <n v="26428"/>
    <x v="3"/>
    <x v="3"/>
    <x v="1"/>
    <x v="0"/>
    <d v="2007-08-04T00:00:00"/>
    <d v="1970-01-04T00:00:00"/>
    <x v="1"/>
    <n v="2725"/>
    <n v="0.8"/>
    <n v="0.54"/>
    <n v="55"/>
    <n v="17"/>
    <n v="0.67"/>
    <n v="0.26"/>
  </r>
  <r>
    <n v="69"/>
    <n v="26417"/>
    <x v="4"/>
    <x v="4"/>
    <x v="1"/>
    <x v="2"/>
    <d v="2008-10-04T00:00:00"/>
    <d v="1971-02-17T00:00:00"/>
    <x v="1"/>
    <n v="5909"/>
    <n v="0.76"/>
    <n v="0.43"/>
    <n v="54"/>
    <n v="16"/>
    <n v="0.59499999999999997"/>
    <n v="0.33"/>
  </r>
  <r>
    <n v="70"/>
    <n v="27150"/>
    <x v="22"/>
    <x v="5"/>
    <x v="1"/>
    <x v="2"/>
    <d v="2010-01-02T00:00:00"/>
    <d v="1964-12-15T00:00:00"/>
    <x v="1"/>
    <n v="11445"/>
    <n v="0.8"/>
    <n v="0.57999999999999996"/>
    <n v="60"/>
    <n v="15"/>
    <n v="0.69"/>
    <n v="0.22000000000000008"/>
  </r>
  <r>
    <n v="83"/>
    <n v="26399"/>
    <x v="2"/>
    <x v="3"/>
    <x v="1"/>
    <x v="2"/>
    <d v="2002-01-26T00:00:00"/>
    <d v="1982-04-01T00:00:00"/>
    <x v="1"/>
    <n v="6834"/>
    <n v="0.83"/>
    <n v="0.64"/>
    <n v="43"/>
    <n v="23"/>
    <n v="0.73499999999999999"/>
    <n v="0.18999999999999995"/>
  </r>
  <r>
    <n v="84"/>
    <n v="26442"/>
    <x v="23"/>
    <x v="4"/>
    <x v="1"/>
    <x v="0"/>
    <d v="2003-12-20T00:00:00"/>
    <d v="1968-05-11T00:00:00"/>
    <x v="1"/>
    <n v="1860"/>
    <n v="0.89"/>
    <n v="0.94"/>
    <n v="57"/>
    <n v="21"/>
    <n v="0.91500000000000004"/>
    <n v="-4.9999999999999933E-2"/>
  </r>
  <r>
    <n v="85"/>
    <n v="25908"/>
    <x v="24"/>
    <x v="5"/>
    <x v="1"/>
    <x v="0"/>
    <d v="2005-02-20T00:00:00"/>
    <d v="1972-11-15T00:00:00"/>
    <x v="1"/>
    <n v="8730"/>
    <n v="0.88"/>
    <n v="0.95"/>
    <n v="52"/>
    <n v="20"/>
    <n v="0.91500000000000004"/>
    <n v="-6.9999999999999951E-2"/>
  </r>
  <r>
    <n v="3"/>
    <n v="26446"/>
    <x v="7"/>
    <x v="6"/>
    <x v="2"/>
    <x v="1"/>
    <d v="2013-08-12T00:00:00"/>
    <d v="1982-02-08T00:00:00"/>
    <x v="0"/>
    <n v="25000"/>
    <n v="0.8"/>
    <n v="0.9"/>
    <n v="43"/>
    <n v="11"/>
    <n v="0.85"/>
    <n v="-9.9999999999999978E-2"/>
  </r>
  <r>
    <n v="9"/>
    <n v="26412"/>
    <x v="25"/>
    <x v="7"/>
    <x v="2"/>
    <x v="2"/>
    <d v="2008-11-15T00:00:00"/>
    <d v="1984-02-21T00:00:00"/>
    <x v="1"/>
    <n v="11492"/>
    <n v="0.81"/>
    <n v="0.77"/>
    <n v="41"/>
    <n v="16"/>
    <n v="0.79"/>
    <n v="4.0000000000000036E-2"/>
  </r>
  <r>
    <n v="30"/>
    <n v="25905"/>
    <x v="26"/>
    <x v="7"/>
    <x v="2"/>
    <x v="0"/>
    <d v="2014-04-20T00:00:00"/>
    <d v="1964-11-07T00:00:00"/>
    <x v="1"/>
    <n v="5578"/>
    <n v="0.76"/>
    <n v="0.97"/>
    <n v="60"/>
    <n v="10"/>
    <n v="0.86499999999999999"/>
    <n v="-0.20999999999999996"/>
  </r>
  <r>
    <n v="50"/>
    <n v="30350"/>
    <x v="23"/>
    <x v="7"/>
    <x v="2"/>
    <x v="2"/>
    <d v="2003-07-15T00:00:00"/>
    <d v="1969-12-02T00:00:00"/>
    <x v="1"/>
    <n v="6348"/>
    <n v="0.76"/>
    <n v="0.69"/>
    <n v="55"/>
    <n v="21"/>
    <n v="0.72499999999999998"/>
    <n v="7.0000000000000062E-2"/>
  </r>
  <r>
    <n v="58"/>
    <n v="30349"/>
    <x v="27"/>
    <x v="7"/>
    <x v="2"/>
    <x v="1"/>
    <d v="2016-08-16T00:00:00"/>
    <d v="1970-11-04T00:00:00"/>
    <x v="1"/>
    <n v="1952"/>
    <n v="0.83"/>
    <n v="0.76"/>
    <n v="54"/>
    <n v="8"/>
    <n v="0.79500000000000004"/>
    <n v="6.9999999999999951E-2"/>
  </r>
  <r>
    <n v="71"/>
    <n v="30460"/>
    <x v="28"/>
    <x v="7"/>
    <x v="2"/>
    <x v="2"/>
    <d v="2011-05-17T00:00:00"/>
    <d v="1976-12-06T00:00:00"/>
    <x v="1"/>
    <n v="18214"/>
    <n v="0.78"/>
    <n v="0.64"/>
    <n v="48"/>
    <n v="13"/>
    <n v="0.71"/>
    <n v="0.14000000000000001"/>
  </r>
  <r>
    <n v="3"/>
    <n v="26446"/>
    <x v="7"/>
    <x v="6"/>
    <x v="2"/>
    <x v="1"/>
    <d v="2013-08-12T00:00:00"/>
    <d v="1982-02-08T00:00:00"/>
    <x v="0"/>
    <n v="25000"/>
    <n v="0.8"/>
    <n v="0.9"/>
    <n v="43"/>
    <n v="11"/>
    <n v="0.85"/>
    <n v="-9.9999999999999978E-2"/>
  </r>
  <r>
    <n v="9"/>
    <n v="26412"/>
    <x v="25"/>
    <x v="7"/>
    <x v="2"/>
    <x v="2"/>
    <d v="2008-11-15T00:00:00"/>
    <d v="1984-02-21T00:00:00"/>
    <x v="1"/>
    <n v="11492"/>
    <n v="0.81"/>
    <n v="0.77"/>
    <n v="41"/>
    <n v="16"/>
    <n v="0.79"/>
    <n v="4.0000000000000036E-2"/>
  </r>
  <r>
    <n v="30"/>
    <n v="25905"/>
    <x v="26"/>
    <x v="7"/>
    <x v="2"/>
    <x v="0"/>
    <d v="2014-04-20T00:00:00"/>
    <d v="1964-11-07T00:00:00"/>
    <x v="1"/>
    <n v="5578"/>
    <n v="0.76"/>
    <n v="0.97"/>
    <n v="60"/>
    <n v="10"/>
    <n v="0.86499999999999999"/>
    <n v="-0.20999999999999996"/>
  </r>
  <r>
    <n v="50"/>
    <n v="30350"/>
    <x v="23"/>
    <x v="7"/>
    <x v="2"/>
    <x v="2"/>
    <d v="2003-07-15T00:00:00"/>
    <d v="1969-12-02T00:00:00"/>
    <x v="1"/>
    <n v="6348"/>
    <n v="0.76"/>
    <n v="0.69"/>
    <n v="55"/>
    <n v="21"/>
    <n v="0.72499999999999998"/>
    <n v="7.0000000000000062E-2"/>
  </r>
  <r>
    <n v="58"/>
    <n v="30349"/>
    <x v="27"/>
    <x v="7"/>
    <x v="2"/>
    <x v="1"/>
    <d v="2016-08-16T00:00:00"/>
    <d v="1970-11-04T00:00:00"/>
    <x v="1"/>
    <n v="1952"/>
    <n v="0.83"/>
    <n v="0.76"/>
    <n v="54"/>
    <n v="8"/>
    <n v="0.79500000000000004"/>
    <n v="6.9999999999999951E-2"/>
  </r>
  <r>
    <n v="71"/>
    <n v="30460"/>
    <x v="28"/>
    <x v="7"/>
    <x v="2"/>
    <x v="2"/>
    <d v="2011-05-17T00:00:00"/>
    <d v="1976-12-06T00:00:00"/>
    <x v="1"/>
    <n v="18214"/>
    <n v="0.78"/>
    <n v="0.64"/>
    <n v="48"/>
    <n v="13"/>
    <n v="0.71"/>
    <n v="0.14000000000000001"/>
  </r>
  <r>
    <n v="2"/>
    <n v="28127"/>
    <x v="29"/>
    <x v="8"/>
    <x v="3"/>
    <x v="2"/>
    <d v="2012-01-11T00:00:00"/>
    <d v="1965-09-04T00:00:00"/>
    <x v="0"/>
    <n v="21575"/>
    <n v="0.86"/>
    <n v="0.87"/>
    <n v="60"/>
    <n v="13"/>
    <n v="0.86499999999999999"/>
    <n v="-1.0000000000000009E-2"/>
  </r>
  <r>
    <n v="14"/>
    <n v="26422"/>
    <x v="23"/>
    <x v="9"/>
    <x v="3"/>
    <x v="0"/>
    <d v="2005-02-15T00:00:00"/>
    <d v="1963-11-18T00:00:00"/>
    <x v="1"/>
    <n v="19023"/>
    <n v="0.78"/>
    <n v="0.89"/>
    <n v="61"/>
    <n v="20"/>
    <n v="0.83499999999999996"/>
    <n v="-0.10999999999999999"/>
  </r>
  <r>
    <n v="15"/>
    <n v="26414"/>
    <x v="24"/>
    <x v="10"/>
    <x v="3"/>
    <x v="2"/>
    <d v="2010-04-24T00:00:00"/>
    <d v="1972-05-16T00:00:00"/>
    <x v="1"/>
    <n v="12801"/>
    <n v="0.75"/>
    <n v="0.76"/>
    <n v="53"/>
    <n v="14"/>
    <n v="0.755"/>
    <n v="-1.0000000000000009E-2"/>
  </r>
  <r>
    <n v="24"/>
    <n v="30352"/>
    <x v="30"/>
    <x v="10"/>
    <x v="3"/>
    <x v="0"/>
    <d v="2016-04-23T00:00:00"/>
    <d v="1970-12-22T00:00:00"/>
    <x v="1"/>
    <n v="16742"/>
    <n v="0.87"/>
    <n v="0.87"/>
    <n v="54"/>
    <n v="8"/>
    <n v="0.87"/>
    <n v="0"/>
  </r>
  <r>
    <n v="25"/>
    <n v="26726"/>
    <x v="31"/>
    <x v="10"/>
    <x v="3"/>
    <x v="0"/>
    <d v="2016-04-30T00:00:00"/>
    <d v="1983-09-28T00:00:00"/>
    <x v="1"/>
    <n v="15635"/>
    <n v="0.84"/>
    <n v="0.84"/>
    <n v="41"/>
    <n v="8"/>
    <n v="0.84"/>
    <n v="0"/>
  </r>
  <r>
    <n v="35"/>
    <n v="26431"/>
    <x v="32"/>
    <x v="9"/>
    <x v="3"/>
    <x v="2"/>
    <d v="2017-04-08T00:00:00"/>
    <d v="1984-02-21T00:00:00"/>
    <x v="1"/>
    <n v="20897"/>
    <n v="0.83"/>
    <n v="0.67"/>
    <n v="41"/>
    <n v="7"/>
    <n v="0.75"/>
    <n v="0.15999999999999992"/>
  </r>
  <r>
    <n v="36"/>
    <n v="26396"/>
    <x v="22"/>
    <x v="10"/>
    <x v="3"/>
    <x v="1"/>
    <d v="2013-09-10T00:00:00"/>
    <d v="1975-08-01T00:00:00"/>
    <x v="1"/>
    <n v="15730"/>
    <n v="0.86"/>
    <n v="0.53"/>
    <n v="50"/>
    <n v="11"/>
    <n v="0.69499999999999995"/>
    <n v="0.32999999999999996"/>
  </r>
  <r>
    <n v="44"/>
    <n v="26445"/>
    <x v="12"/>
    <x v="10"/>
    <x v="3"/>
    <x v="2"/>
    <d v="2008-08-11T00:00:00"/>
    <d v="1969-10-20T00:00:00"/>
    <x v="1"/>
    <n v="16861"/>
    <n v="0.87"/>
    <n v="0.52"/>
    <n v="55"/>
    <n v="16"/>
    <n v="0.69499999999999995"/>
    <n v="0.35"/>
  </r>
  <r>
    <n v="45"/>
    <n v="26400"/>
    <x v="25"/>
    <x v="10"/>
    <x v="3"/>
    <x v="0"/>
    <d v="2015-03-21T00:00:00"/>
    <d v="1970-10-15T00:00:00"/>
    <x v="1"/>
    <n v="5067"/>
    <n v="0.86"/>
    <n v="0.94"/>
    <n v="54"/>
    <n v="9"/>
    <n v="0.9"/>
    <n v="-7.999999999999996E-2"/>
  </r>
  <r>
    <n v="53"/>
    <n v="26443"/>
    <x v="33"/>
    <x v="10"/>
    <x v="3"/>
    <x v="2"/>
    <d v="2008-07-12T00:00:00"/>
    <d v="1970-02-09T00:00:00"/>
    <x v="1"/>
    <n v="12903"/>
    <n v="0.77"/>
    <n v="0.75"/>
    <n v="55"/>
    <n v="16"/>
    <n v="0.76"/>
    <n v="2.0000000000000018E-2"/>
  </r>
  <r>
    <n v="63"/>
    <n v="26610"/>
    <x v="13"/>
    <x v="9"/>
    <x v="3"/>
    <x v="0"/>
    <d v="2018-01-21T00:00:00"/>
    <d v="1974-06-20T00:00:00"/>
    <x v="1"/>
    <n v="4388"/>
    <n v="0.86"/>
    <n v="0.47"/>
    <n v="51"/>
    <n v="6"/>
    <n v="0.66500000000000004"/>
    <n v="0.39"/>
  </r>
  <r>
    <n v="64"/>
    <n v="26404"/>
    <x v="14"/>
    <x v="10"/>
    <x v="3"/>
    <x v="0"/>
    <d v="2018-12-29T00:00:00"/>
    <d v="1974-05-18T00:00:00"/>
    <x v="1"/>
    <n v="15454"/>
    <n v="0.87"/>
    <n v="0.94"/>
    <n v="51"/>
    <n v="5"/>
    <n v="0.90500000000000003"/>
    <n v="-6.9999999999999951E-2"/>
  </r>
  <r>
    <n v="65"/>
    <n v="26402"/>
    <x v="26"/>
    <x v="10"/>
    <x v="3"/>
    <x v="2"/>
    <d v="2003-02-24T00:00:00"/>
    <d v="1968-10-13T00:00:00"/>
    <x v="1"/>
    <n v="24472"/>
    <n v="0.84"/>
    <n v="0.52"/>
    <n v="56"/>
    <n v="22"/>
    <n v="0.68"/>
    <n v="0.31999999999999995"/>
  </r>
  <r>
    <n v="66"/>
    <n v="26427"/>
    <x v="34"/>
    <x v="10"/>
    <x v="3"/>
    <x v="2"/>
    <d v="2003-07-15T00:00:00"/>
    <d v="1964-11-27T00:00:00"/>
    <x v="1"/>
    <n v="15992"/>
    <n v="0.82"/>
    <n v="0.91"/>
    <n v="60"/>
    <n v="21"/>
    <n v="0.86499999999999999"/>
    <n v="-9.000000000000008E-2"/>
  </r>
  <r>
    <n v="76"/>
    <n v="26999"/>
    <x v="35"/>
    <x v="9"/>
    <x v="3"/>
    <x v="2"/>
    <d v="2016-05-25T00:00:00"/>
    <d v="1966-08-13T00:00:00"/>
    <x v="1"/>
    <n v="21183"/>
    <n v="0.85"/>
    <n v="0.66"/>
    <n v="59"/>
    <n v="8"/>
    <n v="0.755"/>
    <n v="0.18999999999999995"/>
  </r>
  <r>
    <n v="77"/>
    <n v="28929"/>
    <x v="10"/>
    <x v="10"/>
    <x v="3"/>
    <x v="2"/>
    <d v="2014-05-24T00:00:00"/>
    <d v="1969-11-25T00:00:00"/>
    <x v="1"/>
    <n v="22459"/>
    <n v="0.86"/>
    <n v="0.43"/>
    <n v="55"/>
    <n v="10"/>
    <n v="0.64500000000000002"/>
    <n v="0.43"/>
  </r>
  <r>
    <n v="87"/>
    <n v="26447"/>
    <x v="33"/>
    <x v="9"/>
    <x v="3"/>
    <x v="0"/>
    <d v="2008-08-09T00:00:00"/>
    <d v="1980-05-01T00:00:00"/>
    <x v="1"/>
    <n v="2227"/>
    <n v="0.8"/>
    <n v="0.59"/>
    <n v="45"/>
    <n v="16"/>
    <n v="0.69499999999999995"/>
    <n v="0.21000000000000008"/>
  </r>
  <r>
    <n v="88"/>
    <n v="28227"/>
    <x v="17"/>
    <x v="10"/>
    <x v="3"/>
    <x v="0"/>
    <d v="2008-11-15T00:00:00"/>
    <d v="1972-04-06T00:00:00"/>
    <x v="1"/>
    <n v="1673"/>
    <n v="0.78"/>
    <n v="0.78"/>
    <n v="53"/>
    <n v="16"/>
    <n v="0.78"/>
    <n v="0"/>
  </r>
  <r>
    <n v="5"/>
    <n v="27375"/>
    <x v="35"/>
    <x v="11"/>
    <x v="4"/>
    <x v="0"/>
    <d v="2000-08-03T00:00:00"/>
    <d v="1980-03-01T00:00:00"/>
    <x v="1"/>
    <n v="35000"/>
    <n v="0.89"/>
    <n v="0.52"/>
    <n v="45"/>
    <n v="24"/>
    <n v="0.70499999999999996"/>
    <n v="0.37"/>
  </r>
  <r>
    <n v="10"/>
    <n v="30377"/>
    <x v="15"/>
    <x v="12"/>
    <x v="4"/>
    <x v="2"/>
    <d v="2010-07-03T00:00:00"/>
    <d v="1969-12-13T00:00:00"/>
    <x v="2"/>
    <n v="17456"/>
    <n v="0.87"/>
    <n v="0.97"/>
    <n v="55"/>
    <n v="14"/>
    <n v="0.92"/>
    <n v="-9.9999999999999978E-2"/>
  </r>
  <r>
    <n v="11"/>
    <n v="29369"/>
    <x v="16"/>
    <x v="12"/>
    <x v="4"/>
    <x v="2"/>
    <d v="2015-11-18T00:00:00"/>
    <d v="1978-11-13T00:00:00"/>
    <x v="2"/>
    <n v="7943"/>
    <n v="0.75"/>
    <n v="0.7"/>
    <n v="46"/>
    <n v="9"/>
    <n v="0.72499999999999998"/>
    <n v="5.0000000000000044E-2"/>
  </r>
  <r>
    <n v="16"/>
    <n v="27142"/>
    <x v="8"/>
    <x v="12"/>
    <x v="4"/>
    <x v="2"/>
    <d v="2011-05-25T00:00:00"/>
    <d v="1971-06-18T00:00:00"/>
    <x v="2"/>
    <n v="16613"/>
    <n v="0.84"/>
    <n v="0.42"/>
    <n v="54"/>
    <n v="13"/>
    <n v="0.63"/>
    <n v="0.42"/>
  </r>
  <r>
    <n v="17"/>
    <n v="27650"/>
    <x v="33"/>
    <x v="12"/>
    <x v="4"/>
    <x v="2"/>
    <d v="2011-07-02T00:00:00"/>
    <d v="1979-12-05T00:00:00"/>
    <x v="2"/>
    <n v="6329"/>
    <n v="0.81"/>
    <n v="0.71"/>
    <n v="45"/>
    <n v="13"/>
    <n v="0.76"/>
    <n v="0.10000000000000009"/>
  </r>
  <r>
    <n v="18"/>
    <n v="25906"/>
    <x v="17"/>
    <x v="12"/>
    <x v="4"/>
    <x v="0"/>
    <d v="2013-08-12T00:00:00"/>
    <d v="1981-03-19T00:00:00"/>
    <x v="2"/>
    <n v="17215"/>
    <n v="0.8"/>
    <n v="0.87"/>
    <n v="44"/>
    <n v="11"/>
    <n v="0.83499999999999996"/>
    <n v="-6.9999999999999951E-2"/>
  </r>
  <r>
    <n v="19"/>
    <n v="26439"/>
    <x v="18"/>
    <x v="12"/>
    <x v="4"/>
    <x v="1"/>
    <d v="2014-09-23T00:00:00"/>
    <d v="1969-01-10T00:00:00"/>
    <x v="2"/>
    <n v="4799"/>
    <n v="0.86"/>
    <n v="0.64"/>
    <n v="56"/>
    <n v="10"/>
    <n v="0.75"/>
    <n v="0.21999999999999997"/>
  </r>
  <r>
    <n v="20"/>
    <n v="26438"/>
    <x v="19"/>
    <x v="12"/>
    <x v="4"/>
    <x v="1"/>
    <d v="2014-10-11T00:00:00"/>
    <d v="1969-01-07T00:00:00"/>
    <x v="2"/>
    <n v="18547"/>
    <n v="0.82"/>
    <n v="0.65"/>
    <n v="56"/>
    <n v="10"/>
    <n v="0.73499999999999999"/>
    <n v="0.16999999999999993"/>
  </r>
  <r>
    <n v="21"/>
    <n v="31456"/>
    <x v="20"/>
    <x v="12"/>
    <x v="4"/>
    <x v="2"/>
    <d v="2015-04-11T00:00:00"/>
    <d v="1963-10-28T00:00:00"/>
    <x v="2"/>
    <n v="4649"/>
    <n v="0.75"/>
    <n v="0.78"/>
    <n v="61"/>
    <n v="9"/>
    <n v="0.76500000000000001"/>
    <n v="-3.0000000000000027E-2"/>
  </r>
  <r>
    <n v="22"/>
    <n v="27141"/>
    <x v="27"/>
    <x v="12"/>
    <x v="4"/>
    <x v="0"/>
    <d v="2015-04-11T00:00:00"/>
    <d v="1984-05-06T00:00:00"/>
    <x v="2"/>
    <n v="15173"/>
    <n v="0.85"/>
    <n v="0.96"/>
    <n v="41"/>
    <n v="9"/>
    <n v="0.90500000000000003"/>
    <n v="-0.10999999999999999"/>
  </r>
  <r>
    <n v="23"/>
    <n v="26448"/>
    <x v="36"/>
    <x v="12"/>
    <x v="4"/>
    <x v="0"/>
    <d v="2016-04-09T00:00:00"/>
    <d v="1983-06-20T00:00:00"/>
    <x v="2"/>
    <n v="18240"/>
    <n v="0.89"/>
    <n v="0.61"/>
    <n v="42"/>
    <n v="8"/>
    <n v="0.75"/>
    <n v="0.28000000000000003"/>
  </r>
  <r>
    <n v="31"/>
    <n v="26437"/>
    <x v="34"/>
    <x v="12"/>
    <x v="4"/>
    <x v="0"/>
    <d v="2014-10-11T00:00:00"/>
    <d v="1976-08-16T00:00:00"/>
    <x v="2"/>
    <n v="3445"/>
    <n v="0.78"/>
    <n v="0.65"/>
    <n v="48"/>
    <n v="10"/>
    <n v="0.71499999999999997"/>
    <n v="0.13"/>
  </r>
  <r>
    <n v="32"/>
    <n v="27960"/>
    <x v="21"/>
    <x v="12"/>
    <x v="4"/>
    <x v="2"/>
    <d v="2016-02-17T00:00:00"/>
    <d v="1964-09-21T00:00:00"/>
    <x v="2"/>
    <n v="13889"/>
    <n v="0.85"/>
    <n v="0.61"/>
    <n v="61"/>
    <n v="8"/>
    <n v="0.73"/>
    <n v="0.24"/>
  </r>
  <r>
    <n v="37"/>
    <n v="27003"/>
    <x v="28"/>
    <x v="12"/>
    <x v="4"/>
    <x v="0"/>
    <d v="2018-01-21T00:00:00"/>
    <d v="1980-02-05T00:00:00"/>
    <x v="2"/>
    <n v="23467"/>
    <n v="0.79"/>
    <n v="0.95"/>
    <n v="45"/>
    <n v="6"/>
    <n v="0.87"/>
    <n v="-0.15999999999999992"/>
  </r>
  <r>
    <n v="38"/>
    <n v="26440"/>
    <x v="37"/>
    <x v="12"/>
    <x v="4"/>
    <x v="2"/>
    <d v="2018-01-21T00:00:00"/>
    <d v="1977-08-27T00:00:00"/>
    <x v="2"/>
    <n v="2486"/>
    <n v="0.83"/>
    <n v="0.67"/>
    <n v="47"/>
    <n v="6"/>
    <n v="0.75"/>
    <n v="0.15999999999999992"/>
  </r>
  <r>
    <n v="39"/>
    <n v="26433"/>
    <x v="9"/>
    <x v="12"/>
    <x v="4"/>
    <x v="2"/>
    <d v="2018-01-21T00:00:00"/>
    <d v="1964-04-30T00:00:00"/>
    <x v="2"/>
    <n v="9365"/>
    <n v="0.84"/>
    <n v="0.4"/>
    <n v="61"/>
    <n v="6"/>
    <n v="0.62"/>
    <n v="0.43999999999999995"/>
  </r>
  <r>
    <n v="40"/>
    <n v="31457"/>
    <x v="7"/>
    <x v="12"/>
    <x v="4"/>
    <x v="0"/>
    <d v="1999-06-01T00:00:00"/>
    <d v="1964-06-04T00:00:00"/>
    <x v="2"/>
    <n v="22438"/>
    <n v="0.82"/>
    <n v="0.56999999999999995"/>
    <n v="61"/>
    <n v="25"/>
    <n v="0.69499999999999995"/>
    <n v="0.25"/>
  </r>
  <r>
    <n v="41"/>
    <n v="27648"/>
    <x v="0"/>
    <x v="12"/>
    <x v="4"/>
    <x v="0"/>
    <d v="2004-05-08T00:00:00"/>
    <d v="1989-08-23T00:00:00"/>
    <x v="2"/>
    <n v="20869"/>
    <n v="0.77"/>
    <n v="0.41"/>
    <n v="35"/>
    <n v="20"/>
    <n v="0.59"/>
    <n v="0.36000000000000004"/>
  </r>
  <r>
    <n v="42"/>
    <n v="27858"/>
    <x v="35"/>
    <x v="12"/>
    <x v="4"/>
    <x v="2"/>
    <d v="2011-11-03T00:00:00"/>
    <d v="1978-05-11T00:00:00"/>
    <x v="2"/>
    <n v="1428"/>
    <n v="0.87"/>
    <n v="0.96"/>
    <n v="47"/>
    <n v="13"/>
    <n v="0.91500000000000004"/>
    <n v="-8.9999999999999969E-2"/>
  </r>
  <r>
    <n v="43"/>
    <n v="26444"/>
    <x v="10"/>
    <x v="12"/>
    <x v="4"/>
    <x v="0"/>
    <d v="1998-03-14T00:00:00"/>
    <d v="1978-10-19T00:00:00"/>
    <x v="2"/>
    <n v="16767"/>
    <n v="0.84"/>
    <n v="0.69"/>
    <n v="46"/>
    <n v="27"/>
    <n v="0.76500000000000001"/>
    <n v="0.15000000000000002"/>
  </r>
  <r>
    <n v="51"/>
    <n v="28126"/>
    <x v="24"/>
    <x v="12"/>
    <x v="4"/>
    <x v="0"/>
    <d v="2006-08-01T00:00:00"/>
    <d v="1977-02-10T00:00:00"/>
    <x v="2"/>
    <n v="12122"/>
    <n v="0.76"/>
    <n v="0.67"/>
    <n v="48"/>
    <n v="18"/>
    <n v="0.71499999999999997"/>
    <n v="8.9999999999999969E-2"/>
  </r>
  <r>
    <n v="52"/>
    <n v="26413"/>
    <x v="8"/>
    <x v="12"/>
    <x v="4"/>
    <x v="2"/>
    <d v="2007-03-03T00:00:00"/>
    <d v="1969-06-02T00:00:00"/>
    <x v="2"/>
    <n v="24004"/>
    <n v="0.81"/>
    <n v="0.77"/>
    <n v="56"/>
    <n v="17"/>
    <n v="0.79"/>
    <n v="4.0000000000000036E-2"/>
  </r>
  <r>
    <n v="59"/>
    <n v="26347"/>
    <x v="36"/>
    <x v="12"/>
    <x v="4"/>
    <x v="2"/>
    <d v="2016-07-25T00:00:00"/>
    <d v="1989-04-01T00:00:00"/>
    <x v="2"/>
    <n v="7329"/>
    <n v="0.86"/>
    <n v="0.61"/>
    <n v="36"/>
    <n v="8"/>
    <n v="0.73499999999999999"/>
    <n v="0.25"/>
  </r>
  <r>
    <n v="60"/>
    <n v="26430"/>
    <x v="31"/>
    <x v="12"/>
    <x v="4"/>
    <x v="2"/>
    <d v="2014-11-08T00:00:00"/>
    <d v="1970-08-23T00:00:00"/>
    <x v="2"/>
    <n v="20603"/>
    <n v="0.88"/>
    <n v="0.76"/>
    <n v="55"/>
    <n v="10"/>
    <n v="0.82"/>
    <n v="0.12"/>
  </r>
  <r>
    <n v="72"/>
    <n v="26991"/>
    <x v="37"/>
    <x v="12"/>
    <x v="4"/>
    <x v="0"/>
    <d v="2012-02-13T00:00:00"/>
    <d v="1980-02-05T00:00:00"/>
    <x v="2"/>
    <n v="18091"/>
    <n v="0.84"/>
    <n v="0.91"/>
    <n v="45"/>
    <n v="12"/>
    <n v="0.875"/>
    <n v="-7.0000000000000062E-2"/>
  </r>
  <r>
    <n v="73"/>
    <n v="27618"/>
    <x v="9"/>
    <x v="12"/>
    <x v="4"/>
    <x v="0"/>
    <d v="2015-02-01T00:00:00"/>
    <d v="1972-03-04T00:00:00"/>
    <x v="2"/>
    <n v="21390"/>
    <n v="0.76"/>
    <n v="0.89"/>
    <n v="53"/>
    <n v="9"/>
    <n v="0.82499999999999996"/>
    <n v="-0.13"/>
  </r>
  <r>
    <n v="78"/>
    <n v="28166"/>
    <x v="12"/>
    <x v="12"/>
    <x v="4"/>
    <x v="2"/>
    <d v="2016-04-16T00:00:00"/>
    <d v="1983-08-08T00:00:00"/>
    <x v="2"/>
    <n v="13943"/>
    <n v="0.78"/>
    <n v="0.78"/>
    <n v="41"/>
    <n v="8"/>
    <n v="0.78"/>
    <n v="0"/>
  </r>
  <r>
    <n v="79"/>
    <n v="27004"/>
    <x v="25"/>
    <x v="12"/>
    <x v="4"/>
    <x v="2"/>
    <d v="1996-06-01T00:00:00"/>
    <d v="1977-02-01T00:00:00"/>
    <x v="2"/>
    <n v="9011"/>
    <n v="0.79"/>
    <n v="0.46"/>
    <n v="48"/>
    <n v="28"/>
    <n v="0.625"/>
    <n v="0.33"/>
  </r>
  <r>
    <n v="80"/>
    <n v="27649"/>
    <x v="15"/>
    <x v="12"/>
    <x v="4"/>
    <x v="2"/>
    <d v="1996-11-20T00:00:00"/>
    <d v="1979-04-25T00:00:00"/>
    <x v="2"/>
    <n v="5390"/>
    <n v="0.81"/>
    <n v="0.4"/>
    <n v="46"/>
    <n v="28"/>
    <n v="0.60499999999999998"/>
    <n v="0.41000000000000003"/>
  </r>
  <r>
    <n v="81"/>
    <n v="26998"/>
    <x v="16"/>
    <x v="12"/>
    <x v="4"/>
    <x v="2"/>
    <d v="1998-06-20T00:00:00"/>
    <d v="1976-01-15T00:00:00"/>
    <x v="2"/>
    <n v="19015"/>
    <n v="0.84"/>
    <n v="0.65"/>
    <n v="49"/>
    <n v="26"/>
    <n v="0.745"/>
    <n v="0.18999999999999995"/>
  </r>
  <r>
    <n v="82"/>
    <n v="31455"/>
    <x v="1"/>
    <x v="12"/>
    <x v="4"/>
    <x v="1"/>
    <d v="2001-01-13T00:00:00"/>
    <d v="1979-09-26T00:00:00"/>
    <x v="2"/>
    <n v="8138"/>
    <n v="0.82"/>
    <n v="0.83"/>
    <n v="45"/>
    <n v="24"/>
    <n v="0.82499999999999996"/>
    <n v="-1.0000000000000009E-2"/>
  </r>
  <r>
    <n v="89"/>
    <n v="26425"/>
    <x v="18"/>
    <x v="12"/>
    <x v="4"/>
    <x v="1"/>
    <d v="2012-10-09T00:00:00"/>
    <d v="1972-05-20T00:00:00"/>
    <x v="2"/>
    <n v="5061"/>
    <n v="0.75"/>
    <n v="0.67"/>
    <n v="53"/>
    <n v="12"/>
    <n v="0.71"/>
    <n v="7.999999999999996E-2"/>
  </r>
  <r>
    <n v="90"/>
    <n v="26421"/>
    <x v="19"/>
    <x v="12"/>
    <x v="4"/>
    <x v="0"/>
    <d v="2013-04-14T00:00:00"/>
    <d v="1973-11-24T00:00:00"/>
    <x v="2"/>
    <n v="8005"/>
    <n v="0.85"/>
    <n v="0.75"/>
    <n v="51"/>
    <n v="11"/>
    <n v="0.8"/>
    <n v="9.9999999999999978E-2"/>
  </r>
  <r>
    <n v="91"/>
    <n v="26419"/>
    <x v="20"/>
    <x v="12"/>
    <x v="4"/>
    <x v="2"/>
    <d v="2013-11-16T00:00:00"/>
    <d v="1970-03-28T00:00:00"/>
    <x v="2"/>
    <n v="7002"/>
    <n v="0.87"/>
    <n v="0.6"/>
    <n v="55"/>
    <n v="11"/>
    <n v="0.73499999999999999"/>
    <n v="0.27"/>
  </r>
  <r>
    <n v="92"/>
    <n v="28927"/>
    <x v="27"/>
    <x v="12"/>
    <x v="4"/>
    <x v="0"/>
    <d v="2014-04-01T00:00:00"/>
    <d v="1969-02-20T00:00:00"/>
    <x v="2"/>
    <n v="23284"/>
    <n v="0.75"/>
    <n v="0.84"/>
    <n v="56"/>
    <n v="10"/>
    <n v="0.79500000000000004"/>
    <n v="-8.9999999999999969E-2"/>
  </r>
  <r>
    <n v="93"/>
    <n v="26748"/>
    <x v="36"/>
    <x v="12"/>
    <x v="4"/>
    <x v="0"/>
    <d v="2014-05-12T00:00:00"/>
    <d v="1982-02-03T00:00:00"/>
    <x v="2"/>
    <n v="20019"/>
    <n v="0.89"/>
    <n v="0.78"/>
    <n v="43"/>
    <n v="10"/>
    <n v="0.83499999999999996"/>
    <n v="0.10999999999999999"/>
  </r>
  <r>
    <n v="94"/>
    <n v="27494"/>
    <x v="31"/>
    <x v="12"/>
    <x v="4"/>
    <x v="2"/>
    <d v="2014-05-12T00:00:00"/>
    <d v="1978-10-29T00:00:00"/>
    <x v="2"/>
    <n v="11645"/>
    <n v="0.8"/>
    <n v="0.62"/>
    <n v="46"/>
    <n v="10"/>
    <n v="0.71"/>
    <n v="0.180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BB7A83-46B6-4499-A095-F8B19C18F496}" name="أجمالي المرتبات لكل موقع"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أجمالي المرتبات لكل موقع">
  <location ref="E8:F12" firstHeaderRow="1" firstDataRow="1" firstDataCol="1"/>
  <pivotFields count="16">
    <pivotField showAll="0"/>
    <pivotField showAll="0"/>
    <pivotField showAll="0"/>
    <pivotField showAll="0"/>
    <pivotField showAll="0">
      <items count="7">
        <item x="0"/>
        <item x="1"/>
        <item x="2"/>
        <item x="3"/>
        <item m="1" x="5"/>
        <item x="4"/>
        <item t="default"/>
      </items>
    </pivotField>
    <pivotField axis="axisRow" showAll="0">
      <items count="4">
        <item sd="0" x="2"/>
        <item sd="0" x="0"/>
        <item sd="0" x="1"/>
        <item t="default" sd="0"/>
      </items>
    </pivotField>
    <pivotField numFmtId="14" showAll="0"/>
    <pivotField numFmtId="14" showAll="0"/>
    <pivotField showAll="0"/>
    <pivotField dataField="1" showAll="0"/>
    <pivotField numFmtId="9" showAll="0"/>
    <pivotField numFmtId="9" showAll="0"/>
    <pivotField showAll="0"/>
    <pivotField showAll="0"/>
    <pivotField numFmtId="9" showAll="0"/>
    <pivotField numFmtId="9" showAll="0"/>
  </pivotFields>
  <rowFields count="1">
    <field x="5"/>
  </rowFields>
  <rowItems count="4">
    <i>
      <x/>
    </i>
    <i>
      <x v="1"/>
    </i>
    <i>
      <x v="2"/>
    </i>
    <i t="grand">
      <x/>
    </i>
  </rowItems>
  <colItems count="1">
    <i/>
  </colItems>
  <dataFields count="1">
    <dataField name="Sum of الراتب" fld="9" baseField="0" baseItem="0"/>
  </dataFields>
  <formats count="4">
    <format dxfId="3">
      <pivotArea collapsedLevelsAreSubtotals="1" fieldPosition="0">
        <references count="1">
          <reference field="5" count="1">
            <x v="0"/>
          </reference>
        </references>
      </pivotArea>
    </format>
    <format dxfId="2">
      <pivotArea collapsedLevelsAreSubtotals="1" fieldPosition="0">
        <references count="1">
          <reference field="5" count="1">
            <x v="1"/>
          </reference>
        </references>
      </pivotArea>
    </format>
    <format dxfId="1">
      <pivotArea collapsedLevelsAreSubtotals="1" fieldPosition="0">
        <references count="1">
          <reference field="5" count="1">
            <x v="2"/>
          </reference>
        </references>
      </pivotArea>
    </format>
    <format dxfId="0">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A648BE-0CD6-467D-921D-6091619A80D8}" name="متوسط الاعمار"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I8:J12" firstHeaderRow="1" firstDataRow="1" firstDataCol="1"/>
  <pivotFields count="16">
    <pivotField showAll="0"/>
    <pivotField showAll="0"/>
    <pivotField showAll="0"/>
    <pivotField showAll="0"/>
    <pivotField showAll="0">
      <items count="7">
        <item x="0"/>
        <item x="1"/>
        <item x="2"/>
        <item x="3"/>
        <item m="1" x="5"/>
        <item x="4"/>
        <item t="default"/>
      </items>
    </pivotField>
    <pivotField axis="axisRow" showAll="0">
      <items count="4">
        <item x="2"/>
        <item x="0"/>
        <item x="1"/>
        <item t="default"/>
      </items>
    </pivotField>
    <pivotField numFmtId="14" showAll="0"/>
    <pivotField numFmtId="14" showAll="0"/>
    <pivotField showAll="0"/>
    <pivotField showAll="0"/>
    <pivotField numFmtId="9" showAll="0"/>
    <pivotField numFmtId="9" showAll="0"/>
    <pivotField dataField="1" showAll="0"/>
    <pivotField showAll="0"/>
    <pivotField numFmtId="9" showAll="0"/>
    <pivotField numFmtId="9" showAll="0"/>
  </pivotFields>
  <rowFields count="1">
    <field x="5"/>
  </rowFields>
  <rowItems count="4">
    <i>
      <x/>
    </i>
    <i>
      <x v="1"/>
    </i>
    <i>
      <x v="2"/>
    </i>
    <i t="grand">
      <x/>
    </i>
  </rowItems>
  <colItems count="1">
    <i/>
  </colItems>
  <dataFields count="1">
    <dataField name="Average of AGE BY YEARS" fld="12" subtotal="average" baseField="5" baseItem="0" numFmtId="2"/>
  </dataFields>
  <formats count="1">
    <format dxfId="4">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8370B0-EB43-4F2F-BFEF-6797060D29CC}" name="مقارنة المؤهل الدراسي بعددالموظفين لكل موقع"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مقارنة المؤهل الدراسي بعددالموظفين لكل موقع">
  <location ref="E21:I26" firstHeaderRow="1" firstDataRow="2" firstDataCol="1"/>
  <pivotFields count="16">
    <pivotField showAll="0"/>
    <pivotField showAll="0"/>
    <pivotField dataField="1" showAll="0"/>
    <pivotField showAll="0"/>
    <pivotField showAll="0">
      <items count="7">
        <item x="0"/>
        <item x="1"/>
        <item x="2"/>
        <item x="3"/>
        <item m="1" x="5"/>
        <item x="4"/>
        <item t="default"/>
      </items>
    </pivotField>
    <pivotField axis="axisRow" showAll="0">
      <items count="4">
        <item x="2"/>
        <item x="0"/>
        <item x="1"/>
        <item t="default"/>
      </items>
    </pivotField>
    <pivotField numFmtId="14" showAll="0"/>
    <pivotField numFmtId="14" showAll="0"/>
    <pivotField axis="axisCol" showAll="0">
      <items count="4">
        <item x="1"/>
        <item x="2"/>
        <item x="0"/>
        <item t="default"/>
      </items>
    </pivotField>
    <pivotField showAll="0"/>
    <pivotField numFmtId="9" showAll="0"/>
    <pivotField numFmtId="9" showAll="0"/>
    <pivotField showAll="0"/>
    <pivotField showAll="0"/>
    <pivotField numFmtId="9" showAll="0"/>
    <pivotField numFmtId="9" showAll="0"/>
  </pivotFields>
  <rowFields count="1">
    <field x="5"/>
  </rowFields>
  <rowItems count="4">
    <i>
      <x/>
    </i>
    <i>
      <x v="1"/>
    </i>
    <i>
      <x v="2"/>
    </i>
    <i t="grand">
      <x/>
    </i>
  </rowItems>
  <colFields count="1">
    <field x="8"/>
  </colFields>
  <colItems count="4">
    <i>
      <x/>
    </i>
    <i>
      <x v="1"/>
    </i>
    <i>
      <x v="2"/>
    </i>
    <i t="grand">
      <x/>
    </i>
  </colItems>
  <dataFields count="1">
    <dataField name="مقارنة المؤهل الدراسي بعددالموظفين لكل موقع" fld="2" subtotal="count" baseField="0" baseItem="0"/>
  </dataFields>
  <formats count="4">
    <format dxfId="8">
      <pivotArea collapsedLevelsAreSubtotals="1" fieldPosition="0">
        <references count="1">
          <reference field="5" count="1">
            <x v="0"/>
          </reference>
        </references>
      </pivotArea>
    </format>
    <format dxfId="7">
      <pivotArea collapsedLevelsAreSubtotals="1" fieldPosition="0">
        <references count="1">
          <reference field="5" count="1">
            <x v="1"/>
          </reference>
        </references>
      </pivotArea>
    </format>
    <format dxfId="6">
      <pivotArea collapsedLevelsAreSubtotals="1" fieldPosition="0">
        <references count="1">
          <reference field="5" count="1">
            <x v="2"/>
          </reference>
        </references>
      </pivotArea>
    </format>
    <format dxfId="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2">
          <reference field="4294967294" count="1" selected="0">
            <x v="0"/>
          </reference>
          <reference field="8" count="1" selected="0">
            <x v="0"/>
          </reference>
        </references>
      </pivotArea>
    </chartFormat>
    <chartFormat chart="6" format="7" series="1">
      <pivotArea type="data" outline="0" fieldPosition="0">
        <references count="2">
          <reference field="4294967294" count="1" selected="0">
            <x v="0"/>
          </reference>
          <reference field="8" count="1" selected="0">
            <x v="1"/>
          </reference>
        </references>
      </pivotArea>
    </chartFormat>
    <chartFormat chart="6" format="8" series="1">
      <pivotArea type="data" outline="0" fieldPosition="0">
        <references count="2">
          <reference field="4294967294" count="1" selected="0">
            <x v="0"/>
          </reference>
          <reference field="8"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3">
          <reference field="4294967294" count="1" selected="0">
            <x v="0"/>
          </reference>
          <reference field="5" count="1" selected="0">
            <x v="2"/>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DB379B-935D-4C33-82F0-A764A273FBEC}" name="متوسط أداء الموظفين ل 20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متوسط أداء الموظفين في 2019">
  <location ref="A1:B40" firstHeaderRow="1" firstDataRow="1" firstDataCol="1"/>
  <pivotFields count="16">
    <pivotField showAll="0"/>
    <pivotField showAll="0"/>
    <pivotField axis="axisRow" showAll="0" sortType="descending">
      <items count="39">
        <item x="9"/>
        <item x="35"/>
        <item x="18"/>
        <item x="26"/>
        <item x="16"/>
        <item x="12"/>
        <item x="11"/>
        <item x="8"/>
        <item x="3"/>
        <item x="33"/>
        <item x="4"/>
        <item x="6"/>
        <item x="1"/>
        <item x="29"/>
        <item x="24"/>
        <item x="0"/>
        <item x="13"/>
        <item x="25"/>
        <item x="34"/>
        <item x="37"/>
        <item x="31"/>
        <item x="7"/>
        <item x="32"/>
        <item x="27"/>
        <item x="20"/>
        <item x="10"/>
        <item x="5"/>
        <item x="30"/>
        <item x="23"/>
        <item x="2"/>
        <item x="28"/>
        <item x="14"/>
        <item x="19"/>
        <item x="22"/>
        <item x="15"/>
        <item x="36"/>
        <item x="21"/>
        <item x="17"/>
        <item t="default"/>
      </items>
      <autoSortScope>
        <pivotArea dataOnly="0" outline="0" fieldPosition="0">
          <references count="1">
            <reference field="4294967294" count="1" selected="0">
              <x v="0"/>
            </reference>
          </references>
        </pivotArea>
      </autoSortScope>
    </pivotField>
    <pivotField showAll="0"/>
    <pivotField showAll="0">
      <items count="7">
        <item x="0"/>
        <item x="1"/>
        <item x="2"/>
        <item x="3"/>
        <item m="1" x="5"/>
        <item x="4"/>
        <item t="default"/>
      </items>
    </pivotField>
    <pivotField showAll="0"/>
    <pivotField numFmtId="14" showAll="0"/>
    <pivotField numFmtId="14" showAll="0"/>
    <pivotField showAll="0"/>
    <pivotField showAll="0"/>
    <pivotField dataField="1" numFmtId="9" showAll="0"/>
    <pivotField numFmtId="9" showAll="0"/>
    <pivotField showAll="0"/>
    <pivotField showAll="0"/>
    <pivotField numFmtId="9" showAll="0"/>
    <pivotField numFmtId="9" showAll="0"/>
  </pivotFields>
  <rowFields count="1">
    <field x="2"/>
  </rowFields>
  <rowItems count="39">
    <i>
      <x v="35"/>
    </i>
    <i>
      <x v="27"/>
    </i>
    <i>
      <x v="1"/>
    </i>
    <i>
      <x v="25"/>
    </i>
    <i>
      <x v="13"/>
    </i>
    <i>
      <x v="31"/>
    </i>
    <i>
      <x v="5"/>
    </i>
    <i>
      <x v="20"/>
    </i>
    <i>
      <x v="36"/>
    </i>
    <i>
      <x v="19"/>
    </i>
    <i>
      <x v="33"/>
    </i>
    <i>
      <x v="22"/>
    </i>
    <i>
      <x v="2"/>
    </i>
    <i>
      <x v="29"/>
    </i>
    <i>
      <x v="8"/>
    </i>
    <i>
      <x v="21"/>
    </i>
    <i>
      <x v="17"/>
    </i>
    <i>
      <x v="12"/>
    </i>
    <i>
      <x v="26"/>
    </i>
    <i>
      <x v="23"/>
    </i>
    <i>
      <x v="7"/>
    </i>
    <i>
      <x v="32"/>
    </i>
    <i>
      <x v="24"/>
    </i>
    <i>
      <x v="16"/>
    </i>
    <i>
      <x v="34"/>
    </i>
    <i>
      <x/>
    </i>
    <i>
      <x v="11"/>
    </i>
    <i>
      <x v="10"/>
    </i>
    <i>
      <x v="37"/>
    </i>
    <i>
      <x v="4"/>
    </i>
    <i>
      <x v="18"/>
    </i>
    <i>
      <x v="28"/>
    </i>
    <i>
      <x v="14"/>
    </i>
    <i>
      <x v="9"/>
    </i>
    <i>
      <x v="3"/>
    </i>
    <i>
      <x v="30"/>
    </i>
    <i>
      <x v="15"/>
    </i>
    <i>
      <x v="6"/>
    </i>
    <i t="grand">
      <x/>
    </i>
  </rowItems>
  <colItems count="1">
    <i/>
  </colItems>
  <dataFields count="1">
    <dataField name="Average of PER 2019" fld="10" subtotal="average" baseField="2" baseItem="0" numFmtId="9"/>
  </dataFields>
  <formats count="2">
    <format dxfId="10">
      <pivotArea collapsedLevelsAreSubtotals="1" fieldPosition="0">
        <references count="1">
          <reference field="2" count="1">
            <x v="0"/>
          </reference>
        </references>
      </pivotArea>
    </format>
    <format dxfId="9">
      <pivotArea outline="0" collapsedLevelsAreSubtotals="1" fieldPosition="0"/>
    </format>
  </formats>
  <conditionalFormats count="1">
    <conditionalFormat priority="4">
      <pivotAreas count="1">
        <pivotArea type="data" collapsedLevelsAreSubtotals="1" fieldPosition="0">
          <references count="2">
            <reference field="4294967294" count="1" selected="0">
              <x v="0"/>
            </reference>
            <reference field="2" count="38">
              <x v="0"/>
              <x v="1"/>
              <x v="2"/>
              <x v="3"/>
              <x v="4"/>
              <x v="5"/>
              <x v="6"/>
              <x v="7"/>
              <x v="8"/>
              <x v="9"/>
              <x v="10"/>
              <x v="11"/>
              <x v="12"/>
              <x v="13"/>
              <x v="14"/>
              <x v="15"/>
              <x v="16"/>
              <x v="17"/>
              <x v="18"/>
              <x v="19"/>
              <x v="20"/>
              <x v="21"/>
              <x v="22"/>
              <x v="23"/>
              <x v="24"/>
              <x v="25"/>
              <x v="26"/>
              <x v="27"/>
              <x v="28"/>
              <x v="29"/>
              <x v="30"/>
              <x v="31"/>
              <x v="32"/>
              <x v="33"/>
              <x v="34"/>
              <x v="35"/>
              <x v="36"/>
              <x v="3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79C257-175F-48B0-B158-0A953C23E387}" name="عددالموظفين لكل موقع"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عددالموظفين لكل موقع">
  <location ref="I1:J5" firstHeaderRow="1" firstDataRow="1" firstDataCol="1"/>
  <pivotFields count="16">
    <pivotField showAll="0"/>
    <pivotField showAll="0"/>
    <pivotField dataField="1" showAll="0"/>
    <pivotField showAll="0"/>
    <pivotField showAll="0">
      <items count="7">
        <item x="0"/>
        <item x="1"/>
        <item x="2"/>
        <item x="3"/>
        <item m="1" x="5"/>
        <item x="4"/>
        <item t="default"/>
      </items>
    </pivotField>
    <pivotField axis="axisRow" showAll="0">
      <items count="4">
        <item sd="0" x="2"/>
        <item sd="0" x="0"/>
        <item sd="0" x="1"/>
        <item t="default" sd="0"/>
      </items>
    </pivotField>
    <pivotField numFmtId="14" showAll="0"/>
    <pivotField numFmtId="14" showAll="0"/>
    <pivotField showAll="0"/>
    <pivotField showAll="0"/>
    <pivotField numFmtId="9" showAll="0"/>
    <pivotField numFmtId="9" showAll="0"/>
    <pivotField showAll="0"/>
    <pivotField showAll="0"/>
    <pivotField numFmtId="9" showAll="0"/>
    <pivotField numFmtId="9" showAll="0"/>
  </pivotFields>
  <rowFields count="1">
    <field x="5"/>
  </rowFields>
  <rowItems count="4">
    <i>
      <x/>
    </i>
    <i>
      <x v="1"/>
    </i>
    <i>
      <x v="2"/>
    </i>
    <i t="grand">
      <x/>
    </i>
  </rowItems>
  <colItems count="1">
    <i/>
  </colItems>
  <dataFields count="1">
    <dataField name="Count of اسم الموظف" fld="2" subtotal="count" baseField="0" baseItem="0"/>
  </dataFields>
  <formats count="4">
    <format dxfId="14">
      <pivotArea collapsedLevelsAreSubtotals="1" fieldPosition="0">
        <references count="1">
          <reference field="5" count="1">
            <x v="0"/>
          </reference>
        </references>
      </pivotArea>
    </format>
    <format dxfId="13">
      <pivotArea collapsedLevelsAreSubtotals="1" fieldPosition="0">
        <references count="1">
          <reference field="5" count="1">
            <x v="1"/>
          </reference>
        </references>
      </pivotArea>
    </format>
    <format dxfId="12">
      <pivotArea collapsedLevelsAreSubtotals="1" fieldPosition="0">
        <references count="1">
          <reference field="5" count="1">
            <x v="2"/>
          </reference>
        </references>
      </pivotArea>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609909-C3BC-489F-813B-1FDCF7D0507E}" name="متوسط تغير الأداء لكل موقع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متوسط تغير الأداء لكل موقع  ">
  <location ref="E1:F5" firstHeaderRow="1" firstDataRow="1" firstDataCol="1"/>
  <pivotFields count="16">
    <pivotField showAll="0"/>
    <pivotField showAll="0"/>
    <pivotField showAll="0"/>
    <pivotField showAll="0"/>
    <pivotField showAll="0">
      <items count="7">
        <item x="0"/>
        <item x="1"/>
        <item x="2"/>
        <item x="3"/>
        <item m="1" x="5"/>
        <item x="4"/>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numFmtId="14" showAll="0"/>
    <pivotField numFmtId="14" showAll="0"/>
    <pivotField showAll="0"/>
    <pivotField showAll="0"/>
    <pivotField numFmtId="9" showAll="0"/>
    <pivotField numFmtId="9" showAll="0"/>
    <pivotField showAll="0"/>
    <pivotField showAll="0"/>
    <pivotField numFmtId="9" showAll="0"/>
    <pivotField dataField="1" numFmtId="9" showAll="0"/>
  </pivotFields>
  <rowFields count="1">
    <field x="5"/>
  </rowFields>
  <rowItems count="4">
    <i>
      <x/>
    </i>
    <i>
      <x v="2"/>
    </i>
    <i>
      <x v="1"/>
    </i>
    <i t="grand">
      <x/>
    </i>
  </rowItems>
  <colItems count="1">
    <i/>
  </colItems>
  <dataFields count="1">
    <dataField name="Average of Delta" fld="15" subtotal="average" baseField="5" baseItem="0"/>
  </dataFields>
  <formats count="3">
    <format dxfId="17">
      <pivotArea collapsedLevelsAreSubtotals="1" fieldPosition="0">
        <references count="1">
          <reference field="5" count="1">
            <x v="0"/>
          </reference>
        </references>
      </pivotArea>
    </format>
    <format dxfId="16">
      <pivotArea collapsedLevelsAreSubtotals="1" fieldPosition="0">
        <references count="1">
          <reference field="5" count="2">
            <x v="1"/>
            <x v="2"/>
          </reference>
        </references>
      </pivotArea>
    </format>
    <format dxfId="15">
      <pivotArea grandRow="1"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5" count="3">
              <x v="0"/>
              <x v="1"/>
              <x v="2"/>
            </reference>
          </references>
        </pivotArea>
      </pivotAreas>
    </conditionalFormat>
  </conditionalFormat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5" count="1" selected="0">
            <x v="1"/>
          </reference>
        </references>
      </pivotArea>
    </chartFormat>
    <chartFormat chart="4" format="4">
      <pivotArea type="data" outline="0" fieldPosition="0">
        <references count="2">
          <reference field="4294967294" count="1" selected="0">
            <x v="0"/>
          </reference>
          <reference field="5" count="1" selected="0">
            <x v="2"/>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2F0187-8D8A-45E4-B443-56985AAF9680}" name="متوسط أداء الموظفين في 20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متوسط أداء الموظفين في 2020">
  <location ref="C1:D40" firstHeaderRow="1" firstDataRow="1" firstDataCol="1"/>
  <pivotFields count="16">
    <pivotField showAll="0"/>
    <pivotField showAll="0"/>
    <pivotField axis="axisRow" showAll="0" sortType="descending">
      <items count="39">
        <item x="9"/>
        <item x="35"/>
        <item x="18"/>
        <item x="26"/>
        <item x="16"/>
        <item x="12"/>
        <item x="11"/>
        <item x="8"/>
        <item x="3"/>
        <item x="33"/>
        <item x="4"/>
        <item x="6"/>
        <item x="1"/>
        <item x="29"/>
        <item x="24"/>
        <item x="0"/>
        <item x="13"/>
        <item x="25"/>
        <item x="34"/>
        <item x="37"/>
        <item x="31"/>
        <item x="7"/>
        <item x="32"/>
        <item x="27"/>
        <item x="20"/>
        <item x="10"/>
        <item x="5"/>
        <item x="30"/>
        <item x="23"/>
        <item x="2"/>
        <item x="28"/>
        <item x="14"/>
        <item x="19"/>
        <item x="22"/>
        <item x="15"/>
        <item x="36"/>
        <item x="21"/>
        <item x="17"/>
        <item t="default"/>
      </items>
      <autoSortScope>
        <pivotArea dataOnly="0" outline="0" fieldPosition="0">
          <references count="1">
            <reference field="4294967294" count="1" selected="0">
              <x v="0"/>
            </reference>
          </references>
        </pivotArea>
      </autoSortScope>
    </pivotField>
    <pivotField showAll="0"/>
    <pivotField showAll="0">
      <items count="7">
        <item x="0"/>
        <item x="1"/>
        <item x="2"/>
        <item x="3"/>
        <item m="1" x="5"/>
        <item x="4"/>
        <item t="default"/>
      </items>
    </pivotField>
    <pivotField showAll="0"/>
    <pivotField numFmtId="14" showAll="0"/>
    <pivotField numFmtId="14" showAll="0"/>
    <pivotField showAll="0"/>
    <pivotField showAll="0"/>
    <pivotField numFmtId="9" showAll="0"/>
    <pivotField dataField="1" numFmtId="9" showAll="0"/>
    <pivotField showAll="0"/>
    <pivotField showAll="0"/>
    <pivotField numFmtId="9" showAll="0"/>
    <pivotField numFmtId="9" showAll="0"/>
  </pivotFields>
  <rowFields count="1">
    <field x="2"/>
  </rowFields>
  <rowItems count="39">
    <i>
      <x v="27"/>
    </i>
    <i>
      <x v="13"/>
    </i>
    <i>
      <x v="31"/>
    </i>
    <i>
      <x v="21"/>
    </i>
    <i>
      <x v="23"/>
    </i>
    <i>
      <x v="3"/>
    </i>
    <i>
      <x v="37"/>
    </i>
    <i>
      <x v="28"/>
    </i>
    <i>
      <x v="14"/>
    </i>
    <i>
      <x v="19"/>
    </i>
    <i>
      <x v="18"/>
    </i>
    <i>
      <x v="32"/>
    </i>
    <i>
      <x v="30"/>
    </i>
    <i>
      <x v="24"/>
    </i>
    <i>
      <x v="20"/>
    </i>
    <i>
      <x v="12"/>
    </i>
    <i>
      <x v="17"/>
    </i>
    <i>
      <x/>
    </i>
    <i>
      <x v="2"/>
    </i>
    <i>
      <x v="1"/>
    </i>
    <i>
      <x v="29"/>
    </i>
    <i>
      <x v="34"/>
    </i>
    <i>
      <x v="16"/>
    </i>
    <i>
      <x v="9"/>
    </i>
    <i>
      <x v="22"/>
    </i>
    <i>
      <x v="35"/>
    </i>
    <i>
      <x v="5"/>
    </i>
    <i>
      <x v="8"/>
    </i>
    <i>
      <x v="36"/>
    </i>
    <i>
      <x v="7"/>
    </i>
    <i>
      <x v="4"/>
    </i>
    <i>
      <x v="10"/>
    </i>
    <i>
      <x v="15"/>
    </i>
    <i>
      <x v="26"/>
    </i>
    <i>
      <x v="11"/>
    </i>
    <i>
      <x v="33"/>
    </i>
    <i>
      <x v="6"/>
    </i>
    <i>
      <x v="25"/>
    </i>
    <i t="grand">
      <x/>
    </i>
  </rowItems>
  <colItems count="1">
    <i/>
  </colItems>
  <dataFields count="1">
    <dataField name="Average of PER 2020" fld="11" subtotal="average" baseField="2" baseItem="0" numFmtId="9"/>
  </dataFields>
  <formats count="2">
    <format dxfId="19">
      <pivotArea collapsedLevelsAreSubtotals="1" fieldPosition="0">
        <references count="1">
          <reference field="2" count="1">
            <x v="0"/>
          </reference>
        </references>
      </pivotArea>
    </format>
    <format dxfId="18">
      <pivotArea outline="0" collapsedLevelsAreSubtotals="1" fieldPosition="0"/>
    </format>
  </formats>
  <conditionalFormats count="1">
    <conditionalFormat priority="3">
      <pivotAreas count="1">
        <pivotArea type="data" collapsedLevelsAreSubtotals="1" fieldPosition="0">
          <references count="2">
            <reference field="4294967294" count="1" selected="0">
              <x v="0"/>
            </reference>
            <reference field="2" count="38">
              <x v="0"/>
              <x v="1"/>
              <x v="2"/>
              <x v="3"/>
              <x v="4"/>
              <x v="5"/>
              <x v="6"/>
              <x v="7"/>
              <x v="8"/>
              <x v="9"/>
              <x v="10"/>
              <x v="11"/>
              <x v="12"/>
              <x v="13"/>
              <x v="14"/>
              <x v="15"/>
              <x v="16"/>
              <x v="17"/>
              <x v="18"/>
              <x v="19"/>
              <x v="20"/>
              <x v="21"/>
              <x v="22"/>
              <x v="23"/>
              <x v="24"/>
              <x v="25"/>
              <x v="26"/>
              <x v="27"/>
              <x v="28"/>
              <x v="29"/>
              <x v="30"/>
              <x v="31"/>
              <x v="32"/>
              <x v="33"/>
              <x v="34"/>
              <x v="35"/>
              <x v="36"/>
              <x v="37"/>
            </reference>
          </references>
        </pivotArea>
      </pivotAreas>
    </conditionalFormat>
  </conditional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38CFF7-320B-422B-9A9A-E1EC5219700B}" name="أجمالي المرتبات لكل وظيفه في كل موقع"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أجمالي المرتبات لكل وظيفه في كل موقع">
  <location ref="L1:M18" firstHeaderRow="1" firstDataRow="1" firstDataCol="1"/>
  <pivotFields count="16">
    <pivotField showAll="0"/>
    <pivotField showAll="0"/>
    <pivotField showAll="0"/>
    <pivotField axis="axisRow" showAll="0">
      <items count="14">
        <item x="1"/>
        <item sd="0" x="9"/>
        <item sd="0" x="0"/>
        <item sd="0" x="5"/>
        <item sd="0" x="2"/>
        <item sd="0" x="3"/>
        <item sd="0" x="6"/>
        <item sd="0" x="8"/>
        <item sd="0" x="10"/>
        <item sd="0" x="4"/>
        <item sd="0" x="11"/>
        <item sd="0" x="12"/>
        <item sd="0" x="7"/>
        <item t="default" sd="0"/>
      </items>
    </pivotField>
    <pivotField showAll="0">
      <items count="7">
        <item x="0"/>
        <item x="1"/>
        <item x="2"/>
        <item x="3"/>
        <item m="1" x="5"/>
        <item x="4"/>
        <item t="default"/>
      </items>
    </pivotField>
    <pivotField axis="axisRow" showAll="0">
      <items count="4">
        <item sd="0" x="2"/>
        <item sd="0" x="0"/>
        <item sd="0" x="1"/>
        <item t="default" sd="0"/>
      </items>
    </pivotField>
    <pivotField numFmtId="14" showAll="0"/>
    <pivotField numFmtId="14" showAll="0"/>
    <pivotField showAll="0"/>
    <pivotField dataField="1" showAll="0"/>
    <pivotField numFmtId="9" showAll="0"/>
    <pivotField numFmtId="9" showAll="0"/>
    <pivotField showAll="0"/>
    <pivotField showAll="0"/>
    <pivotField numFmtId="9" showAll="0"/>
    <pivotField numFmtId="9" showAll="0"/>
  </pivotFields>
  <rowFields count="2">
    <field x="3"/>
    <field x="5"/>
  </rowFields>
  <rowItems count="17">
    <i>
      <x/>
    </i>
    <i r="1">
      <x/>
    </i>
    <i r="1">
      <x v="1"/>
    </i>
    <i r="1">
      <x v="2"/>
    </i>
    <i>
      <x v="1"/>
    </i>
    <i>
      <x v="2"/>
    </i>
    <i>
      <x v="3"/>
    </i>
    <i>
      <x v="4"/>
    </i>
    <i>
      <x v="5"/>
    </i>
    <i>
      <x v="6"/>
    </i>
    <i>
      <x v="7"/>
    </i>
    <i>
      <x v="8"/>
    </i>
    <i>
      <x v="9"/>
    </i>
    <i>
      <x v="10"/>
    </i>
    <i>
      <x v="11"/>
    </i>
    <i>
      <x v="12"/>
    </i>
    <i t="grand">
      <x/>
    </i>
  </rowItems>
  <colItems count="1">
    <i/>
  </colItems>
  <dataFields count="1">
    <dataField name="Sum of الراتب" fld="9" baseField="0" baseItem="0"/>
  </dataFields>
  <formats count="5">
    <format dxfId="24">
      <pivotArea collapsedLevelsAreSubtotals="1" fieldPosition="0">
        <references count="1">
          <reference field="5" count="1">
            <x v="0"/>
          </reference>
        </references>
      </pivotArea>
    </format>
    <format dxfId="23">
      <pivotArea collapsedLevelsAreSubtotals="1" fieldPosition="0">
        <references count="1">
          <reference field="5" count="1">
            <x v="1"/>
          </reference>
        </references>
      </pivotArea>
    </format>
    <format dxfId="22">
      <pivotArea collapsedLevelsAreSubtotals="1" fieldPosition="0">
        <references count="1">
          <reference field="5" count="1">
            <x v="2"/>
          </reference>
        </references>
      </pivotArea>
    </format>
    <format dxfId="21">
      <pivotArea outline="0" collapsedLevelsAreSubtotals="1" fieldPosition="0"/>
    </format>
    <format dxfId="20">
      <pivotArea field="3"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3BE60B-4C29-412F-B55E-8421247FC54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15:J19" firstHeaderRow="1" firstDataRow="1" firstDataCol="1"/>
  <pivotFields count="16">
    <pivotField showAll="0"/>
    <pivotField showAll="0"/>
    <pivotField showAll="0"/>
    <pivotField showAll="0"/>
    <pivotField showAll="0">
      <items count="7">
        <item x="0"/>
        <item x="1"/>
        <item x="2"/>
        <item x="3"/>
        <item m="1" x="5"/>
        <item x="4"/>
        <item t="default"/>
      </items>
    </pivotField>
    <pivotField axis="axisRow" showAll="0">
      <items count="4">
        <item x="2"/>
        <item x="0"/>
        <item x="1"/>
        <item t="default"/>
      </items>
    </pivotField>
    <pivotField numFmtId="14" showAll="0"/>
    <pivotField numFmtId="14" showAll="0"/>
    <pivotField showAll="0"/>
    <pivotField showAll="0"/>
    <pivotField numFmtId="9" showAll="0"/>
    <pivotField numFmtId="9" showAll="0"/>
    <pivotField showAll="0"/>
    <pivotField dataField="1" showAll="0"/>
    <pivotField numFmtId="9" showAll="0"/>
    <pivotField numFmtId="9" showAll="0"/>
  </pivotFields>
  <rowFields count="1">
    <field x="5"/>
  </rowFields>
  <rowItems count="4">
    <i>
      <x/>
    </i>
    <i>
      <x v="1"/>
    </i>
    <i>
      <x v="2"/>
    </i>
    <i t="grand">
      <x/>
    </i>
  </rowItems>
  <colItems count="1">
    <i/>
  </colItems>
  <dataFields count="1">
    <dataField name="Average of Experience By Years" fld="13" subtotal="average" baseField="5" baseItem="0"/>
  </dataFields>
  <formats count="1">
    <format dxfId="25">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1"/>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D6E1D3-EFD1-4DF3-BC2E-E2CAF69E60AC}" name="عدد الموظفين لكل وظيفه في كل موقع"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عدد الموظفين لكل وظيفه في كل موقع">
  <location ref="N1:O18" firstHeaderRow="1" firstDataRow="1" firstDataCol="1"/>
  <pivotFields count="16">
    <pivotField showAll="0"/>
    <pivotField showAll="0"/>
    <pivotField dataField="1" showAll="0"/>
    <pivotField axis="axisRow" showAll="0">
      <items count="14">
        <item x="1"/>
        <item sd="0" x="9"/>
        <item sd="0" x="0"/>
        <item sd="0" x="5"/>
        <item sd="0" x="2"/>
        <item sd="0" x="3"/>
        <item sd="0" x="6"/>
        <item sd="0" x="8"/>
        <item sd="0" x="10"/>
        <item sd="0" x="4"/>
        <item sd="0" x="11"/>
        <item sd="0" x="12"/>
        <item sd="0" x="7"/>
        <item t="default" sd="0"/>
      </items>
    </pivotField>
    <pivotField showAll="0">
      <items count="7">
        <item x="0"/>
        <item x="1"/>
        <item x="2"/>
        <item x="3"/>
        <item m="1" x="5"/>
        <item x="4"/>
        <item t="default"/>
      </items>
    </pivotField>
    <pivotField axis="axisRow" showAll="0">
      <items count="4">
        <item sd="0" x="2"/>
        <item sd="0" x="0"/>
        <item sd="0" x="1"/>
        <item t="default" sd="0"/>
      </items>
    </pivotField>
    <pivotField numFmtId="14" showAll="0"/>
    <pivotField numFmtId="14" showAll="0"/>
    <pivotField showAll="0"/>
    <pivotField showAll="0"/>
    <pivotField numFmtId="9" showAll="0"/>
    <pivotField numFmtId="9" showAll="0"/>
    <pivotField showAll="0"/>
    <pivotField showAll="0"/>
    <pivotField numFmtId="9" showAll="0"/>
    <pivotField numFmtId="9" showAll="0"/>
  </pivotFields>
  <rowFields count="2">
    <field x="3"/>
    <field x="5"/>
  </rowFields>
  <rowItems count="17">
    <i>
      <x/>
    </i>
    <i r="1">
      <x/>
    </i>
    <i r="1">
      <x v="1"/>
    </i>
    <i r="1">
      <x v="2"/>
    </i>
    <i>
      <x v="1"/>
    </i>
    <i>
      <x v="2"/>
    </i>
    <i>
      <x v="3"/>
    </i>
    <i>
      <x v="4"/>
    </i>
    <i>
      <x v="5"/>
    </i>
    <i>
      <x v="6"/>
    </i>
    <i>
      <x v="7"/>
    </i>
    <i>
      <x v="8"/>
    </i>
    <i>
      <x v="9"/>
    </i>
    <i>
      <x v="10"/>
    </i>
    <i>
      <x v="11"/>
    </i>
    <i>
      <x v="12"/>
    </i>
    <i t="grand">
      <x/>
    </i>
  </rowItems>
  <colItems count="1">
    <i/>
  </colItems>
  <dataFields count="1">
    <dataField name="Count of اسم الموظف" fld="2" subtotal="count" baseField="0" baseItem="0"/>
  </dataFields>
  <formats count="5">
    <format dxfId="30">
      <pivotArea collapsedLevelsAreSubtotals="1" fieldPosition="0">
        <references count="1">
          <reference field="5" count="1">
            <x v="0"/>
          </reference>
        </references>
      </pivotArea>
    </format>
    <format dxfId="29">
      <pivotArea collapsedLevelsAreSubtotals="1" fieldPosition="0">
        <references count="1">
          <reference field="5" count="1">
            <x v="1"/>
          </reference>
        </references>
      </pivotArea>
    </format>
    <format dxfId="28">
      <pivotArea collapsedLevelsAreSubtotals="1" fieldPosition="0">
        <references count="1">
          <reference field="5" count="1">
            <x v="2"/>
          </reference>
        </references>
      </pivotArea>
    </format>
    <format dxfId="27">
      <pivotArea outline="0" collapsedLevelsAreSubtotals="1" fieldPosition="0"/>
    </format>
    <format dxfId="26">
      <pivotArea field="3"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3F22A3-46D9-44CB-9243-F359A6DE973C}" name="المرتبات لكل موقع"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المرتبات لكل موقع">
  <location ref="E15:H19" firstHeaderRow="0" firstDataRow="1" firstDataCol="1"/>
  <pivotFields count="16">
    <pivotField showAll="0"/>
    <pivotField showAll="0"/>
    <pivotField showAll="0"/>
    <pivotField showAll="0"/>
    <pivotField showAll="0">
      <items count="7">
        <item x="0"/>
        <item x="1"/>
        <item x="2"/>
        <item x="3"/>
        <item m="1" x="5"/>
        <item x="4"/>
        <item t="default"/>
      </items>
    </pivotField>
    <pivotField axis="axisRow" showAll="0">
      <items count="4">
        <item sd="0" x="2"/>
        <item sd="0" x="0"/>
        <item sd="0" x="1"/>
        <item t="default" sd="0"/>
      </items>
    </pivotField>
    <pivotField numFmtId="14" showAll="0"/>
    <pivotField numFmtId="14" showAll="0"/>
    <pivotField showAll="0"/>
    <pivotField dataField="1" showAll="0"/>
    <pivotField numFmtId="9" showAll="0"/>
    <pivotField numFmtId="9" showAll="0"/>
    <pivotField showAll="0"/>
    <pivotField showAll="0"/>
    <pivotField numFmtId="9" showAll="0"/>
    <pivotField numFmtId="9" showAll="0"/>
  </pivotFields>
  <rowFields count="1">
    <field x="5"/>
  </rowFields>
  <rowItems count="4">
    <i>
      <x/>
    </i>
    <i>
      <x v="1"/>
    </i>
    <i>
      <x v="2"/>
    </i>
    <i t="grand">
      <x/>
    </i>
  </rowItems>
  <colFields count="1">
    <field x="-2"/>
  </colFields>
  <colItems count="3">
    <i>
      <x/>
    </i>
    <i i="1">
      <x v="1"/>
    </i>
    <i i="2">
      <x v="2"/>
    </i>
  </colItems>
  <dataFields count="3">
    <dataField name="Max of الراتب" fld="9" subtotal="max" baseField="5" baseItem="0"/>
    <dataField name="Min of الراتب" fld="9" subtotal="min" baseField="5" baseItem="0"/>
    <dataField name="Average of الراتب" fld="9" subtotal="average" baseField="5" baseItem="0"/>
  </dataFields>
  <formats count="4">
    <format dxfId="34">
      <pivotArea collapsedLevelsAreSubtotals="1" fieldPosition="0">
        <references count="1">
          <reference field="5" count="1">
            <x v="0"/>
          </reference>
        </references>
      </pivotArea>
    </format>
    <format dxfId="33">
      <pivotArea collapsedLevelsAreSubtotals="1" fieldPosition="0">
        <references count="1">
          <reference field="5" count="1">
            <x v="1"/>
          </reference>
        </references>
      </pivotArea>
    </format>
    <format dxfId="32">
      <pivotArea collapsedLevelsAreSubtotals="1" fieldPosition="0">
        <references count="1">
          <reference field="5" count="1">
            <x v="2"/>
          </reference>
        </references>
      </pivotArea>
    </format>
    <format dxfId="31">
      <pivotArea outline="0" collapsedLevelsAreSubtotals="1" fieldPosition="0"/>
    </format>
  </format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1" connectionId="1" xr16:uid="{00DDC532-55A9-474B-B145-3D8E68894BA9}" autoFormatId="16" applyNumberFormats="0" applyBorderFormats="0" applyFontFormats="0" applyPatternFormats="0" applyAlignmentFormats="0" applyWidthHeightFormats="0">
  <queryTableRefresh nextId="17">
    <queryTableFields count="16">
      <queryTableField id="1" name="المسلسل" tableColumnId="1"/>
      <queryTableField id="2" name="الرقم الوظيفي" tableColumnId="2"/>
      <queryTableField id="3" name="اسم الموظف" tableColumnId="3"/>
      <queryTableField id="4" name="الوظيفة" tableColumnId="4"/>
      <queryTableField id="5" name="القسم" tableColumnId="5"/>
      <queryTableField id="6" name="الموقع" tableColumnId="6"/>
      <queryTableField id="7" name="تاريخ التعيين" tableColumnId="7"/>
      <queryTableField id="8" name="تاريخ الميلاد" tableColumnId="8"/>
      <queryTableField id="9" name="المؤهل الدراسي" tableColumnId="9"/>
      <queryTableField id="10" name="الراتب" tableColumnId="10"/>
      <queryTableField id="11" name="PER 2019" tableColumnId="11"/>
      <queryTableField id="12" name="PER 2020" tableColumnId="12"/>
      <queryTableField id="13" name="AGE BY YEARS" tableColumnId="13"/>
      <queryTableField id="14" name="Experience By Years" tableColumnId="14"/>
      <queryTableField id="15" name="Total PER Average" tableColumnId="15"/>
      <queryTableField id="16" name="Delta"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قسم" xr10:uid="{B273CDC3-38D3-4BF0-A30C-57C6C42CB669}" sourceName="القسم">
  <pivotTables>
    <pivotTable tabId="13" name="مقارنة المؤهل الدراسي بعددالموظفين لكل موقع"/>
    <pivotTable tabId="13" name="PivotTable2"/>
    <pivotTable tabId="13" name="أجمالي المرتبات لكل موقع"/>
    <pivotTable tabId="13" name="أجمالي المرتبات لكل وظيفه في كل موقع"/>
    <pivotTable tabId="13" name="المرتبات لكل موقع"/>
    <pivotTable tabId="13" name="عدد الموظفين لكل وظيفه في كل موقع"/>
    <pivotTable tabId="13" name="عددالموظفين لكل موقع"/>
    <pivotTable tabId="13" name="متوسط أداء الموظفين في 2020"/>
    <pivotTable tabId="13" name="متوسط أداء الموظفين ل 2019"/>
    <pivotTable tabId="13" name="متوسط الاعمار"/>
    <pivotTable tabId="13" name="متوسط تغير الأداء لكل موقع  "/>
  </pivotTables>
  <data>
    <tabular pivotCacheId="396762789">
      <items count="6">
        <i x="0" s="1"/>
        <i x="1" s="1"/>
        <i x="2" s="1"/>
        <i x="3" s="1"/>
        <i x="4" s="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 xr10:uid="{FA6ABCF0-6D28-49C4-8ADB-47CCA217D633}" cache="Slicer_القسم" caption="Dep" columnCount="5"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FF9E94-B3AC-4141-A5AB-118EF2FAC7C1}" name="All_Dep" displayName="All_Dep" ref="A1:P201" tableType="queryTable" totalsRowShown="0">
  <autoFilter ref="A1:P201" xr:uid="{57FF9E94-B3AC-4141-A5AB-118EF2FAC7C1}"/>
  <tableColumns count="16">
    <tableColumn id="1" xr3:uid="{F9131726-0C4B-4B83-9E66-6447B24B3F1C}" uniqueName="1" name="المسلسل" queryTableFieldId="1"/>
    <tableColumn id="2" xr3:uid="{FD6B65E2-7BA7-4B6E-94EA-57C0C940C653}" uniqueName="2" name="الرقم الوظيفي" queryTableFieldId="2"/>
    <tableColumn id="3" xr3:uid="{30DADD53-88DE-4367-BA5C-29795C04D49C}" uniqueName="3" name="اسم الموظف" queryTableFieldId="3" dataDxfId="45"/>
    <tableColumn id="4" xr3:uid="{A6BE5244-D9D0-4BB0-8B14-1A3DC8A6D605}" uniqueName="4" name="الوظيفة" queryTableFieldId="4" dataDxfId="44"/>
    <tableColumn id="5" xr3:uid="{E4A57CA5-3B60-4736-81C2-B502F38C8972}" uniqueName="5" name="القسم" queryTableFieldId="5" dataDxfId="43"/>
    <tableColumn id="6" xr3:uid="{849E503A-B191-47D1-9B95-846E496FA779}" uniqueName="6" name="الموقع" queryTableFieldId="6" dataDxfId="42"/>
    <tableColumn id="7" xr3:uid="{81F86EDB-5E1D-4011-9358-2DAD3041C69C}" uniqueName="7" name="تاريخ التعيين" queryTableFieldId="7" dataDxfId="41"/>
    <tableColumn id="8" xr3:uid="{FFED4FAD-72D7-401D-BA57-33558D78CA81}" uniqueName="8" name="تاريخ الميلاد" queryTableFieldId="8" dataDxfId="40"/>
    <tableColumn id="9" xr3:uid="{CF979849-0657-4777-AD8F-3846A7DF5CF0}" uniqueName="9" name="المؤهل الدراسي" queryTableFieldId="9" dataDxfId="39"/>
    <tableColumn id="10" xr3:uid="{37E7110D-F687-477A-8F79-87DB11E755A6}" uniqueName="10" name="الراتب" queryTableFieldId="10"/>
    <tableColumn id="11" xr3:uid="{EAF482F1-DE8F-4F2C-8554-E69FED98FADD}" uniqueName="11" name="PER 2019" queryTableFieldId="11" dataDxfId="38" dataCellStyle="Percent"/>
    <tableColumn id="12" xr3:uid="{640B9016-407C-47E7-8075-9A582797A610}" uniqueName="12" name="PER 2020" queryTableFieldId="12" dataDxfId="37" dataCellStyle="Percent"/>
    <tableColumn id="13" xr3:uid="{905174A8-6B1E-4CE6-A710-433EDA0C338D}" uniqueName="13" name="AGE BY YEARS" queryTableFieldId="13"/>
    <tableColumn id="14" xr3:uid="{51C70107-8027-44AC-9C1D-125C160B982A}" uniqueName="14" name="Experience By Years" queryTableFieldId="14"/>
    <tableColumn id="15" xr3:uid="{53C67556-1634-4589-94DF-747740655CD7}" uniqueName="15" name="Total PER Average" queryTableFieldId="15" dataDxfId="36" dataCellStyle="Percent"/>
    <tableColumn id="16" xr3:uid="{A3B37A11-8BB5-4DE9-B947-74DB6DE529A9}" uniqueName="16" name="Delta" queryTableFieldId="16" dataDxfId="35" dataCellStyle="Percent"/>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BC34C-5AB5-45BE-B097-3D6DF6366438}">
  <dimension ref="A1:P201"/>
  <sheetViews>
    <sheetView topLeftCell="A2" workbookViewId="0">
      <selection activeCell="A4" sqref="A4"/>
    </sheetView>
  </sheetViews>
  <sheetFormatPr defaultRowHeight="15" x14ac:dyDescent="0.25"/>
  <cols>
    <col min="1" max="1" width="8" bestFit="1" customWidth="1"/>
    <col min="2" max="2" width="10.85546875" bestFit="1" customWidth="1"/>
    <col min="3" max="3" width="14.42578125" bestFit="1" customWidth="1"/>
    <col min="4" max="4" width="29.85546875" bestFit="1" customWidth="1"/>
    <col min="5" max="5" width="10" bestFit="1" customWidth="1"/>
    <col min="6" max="6" width="8.5703125" bestFit="1" customWidth="1"/>
    <col min="7" max="8" width="10.7109375" bestFit="1" customWidth="1"/>
    <col min="9" max="9" width="12.28515625" bestFit="1" customWidth="1"/>
    <col min="10" max="10" width="6" bestFit="1" customWidth="1"/>
    <col min="11" max="12" width="11" bestFit="1" customWidth="1"/>
    <col min="13" max="13" width="15.85546875" bestFit="1" customWidth="1"/>
    <col min="14" max="14" width="21.28515625" bestFit="1" customWidth="1"/>
    <col min="15" max="15" width="19.28515625" bestFit="1" customWidth="1"/>
    <col min="16" max="16" width="8" bestFit="1" customWidth="1"/>
    <col min="17" max="17" width="10.42578125" bestFit="1" customWidth="1"/>
  </cols>
  <sheetData>
    <row r="1" spans="1:16" x14ac:dyDescent="0.25">
      <c r="A1" t="s">
        <v>0</v>
      </c>
      <c r="B1" t="s">
        <v>1</v>
      </c>
      <c r="C1" t="s">
        <v>2</v>
      </c>
      <c r="D1" t="s">
        <v>3</v>
      </c>
      <c r="E1" t="s">
        <v>4</v>
      </c>
      <c r="F1" t="s">
        <v>5</v>
      </c>
      <c r="G1" t="s">
        <v>6</v>
      </c>
      <c r="H1" t="s">
        <v>7</v>
      </c>
      <c r="I1" t="s">
        <v>8</v>
      </c>
      <c r="J1" t="s">
        <v>9</v>
      </c>
      <c r="K1" t="s">
        <v>10</v>
      </c>
      <c r="L1" t="s">
        <v>11</v>
      </c>
      <c r="M1" t="s">
        <v>74</v>
      </c>
      <c r="N1" t="s">
        <v>75</v>
      </c>
      <c r="O1" t="s">
        <v>76</v>
      </c>
      <c r="P1" t="s">
        <v>77</v>
      </c>
    </row>
    <row r="2" spans="1:16" x14ac:dyDescent="0.25">
      <c r="A2">
        <v>4</v>
      </c>
      <c r="B2">
        <v>29769</v>
      </c>
      <c r="C2" t="s">
        <v>12</v>
      </c>
      <c r="D2" t="s">
        <v>13</v>
      </c>
      <c r="E2" t="s">
        <v>14</v>
      </c>
      <c r="F2" t="s">
        <v>15</v>
      </c>
      <c r="G2" s="1">
        <v>41499</v>
      </c>
      <c r="H2" s="1">
        <v>26494</v>
      </c>
      <c r="I2" t="s">
        <v>16</v>
      </c>
      <c r="J2">
        <v>26520</v>
      </c>
      <c r="K2" s="2">
        <v>0.81</v>
      </c>
      <c r="L2" s="2">
        <v>0.66</v>
      </c>
      <c r="M2">
        <v>53</v>
      </c>
      <c r="N2">
        <v>11</v>
      </c>
      <c r="O2" s="2">
        <v>0.73499999999999999</v>
      </c>
      <c r="P2" s="9">
        <v>0.15000000000000002</v>
      </c>
    </row>
    <row r="3" spans="1:16" x14ac:dyDescent="0.25">
      <c r="A3">
        <v>12</v>
      </c>
      <c r="B3">
        <v>26401</v>
      </c>
      <c r="C3" t="s">
        <v>17</v>
      </c>
      <c r="D3" t="s">
        <v>18</v>
      </c>
      <c r="E3" t="s">
        <v>14</v>
      </c>
      <c r="F3" t="s">
        <v>15</v>
      </c>
      <c r="G3" s="1">
        <v>42477</v>
      </c>
      <c r="H3" s="1">
        <v>25717</v>
      </c>
      <c r="I3" t="s">
        <v>19</v>
      </c>
      <c r="J3">
        <v>16455</v>
      </c>
      <c r="K3" s="2">
        <v>0.75</v>
      </c>
      <c r="L3" s="2">
        <v>0.92</v>
      </c>
      <c r="M3">
        <v>55</v>
      </c>
      <c r="N3">
        <v>8</v>
      </c>
      <c r="O3" s="2">
        <v>0.83499999999999996</v>
      </c>
      <c r="P3" s="9">
        <v>-0.17000000000000004</v>
      </c>
    </row>
    <row r="4" spans="1:16" x14ac:dyDescent="0.25">
      <c r="A4">
        <v>13</v>
      </c>
      <c r="B4">
        <v>26435</v>
      </c>
      <c r="C4" t="s">
        <v>20</v>
      </c>
      <c r="D4" t="s">
        <v>18</v>
      </c>
      <c r="E4" t="s">
        <v>14</v>
      </c>
      <c r="F4" t="s">
        <v>21</v>
      </c>
      <c r="G4" s="1">
        <v>37131</v>
      </c>
      <c r="H4" s="1">
        <v>22910</v>
      </c>
      <c r="I4" t="s">
        <v>19</v>
      </c>
      <c r="J4">
        <v>4981</v>
      </c>
      <c r="K4" s="2">
        <v>0.77</v>
      </c>
      <c r="L4" s="2">
        <v>0.86</v>
      </c>
      <c r="M4">
        <v>63</v>
      </c>
      <c r="N4">
        <v>23</v>
      </c>
      <c r="O4" s="2">
        <v>0.81499999999999995</v>
      </c>
      <c r="P4" s="9">
        <v>-8.9999999999999969E-2</v>
      </c>
    </row>
    <row r="5" spans="1:16" x14ac:dyDescent="0.25">
      <c r="A5">
        <v>33</v>
      </c>
      <c r="B5">
        <v>26410</v>
      </c>
      <c r="C5" t="s">
        <v>22</v>
      </c>
      <c r="D5" t="s">
        <v>18</v>
      </c>
      <c r="E5" t="s">
        <v>14</v>
      </c>
      <c r="F5" t="s">
        <v>21</v>
      </c>
      <c r="G5" s="1">
        <v>42417</v>
      </c>
      <c r="H5" s="1">
        <v>27626</v>
      </c>
      <c r="I5" t="s">
        <v>19</v>
      </c>
      <c r="J5">
        <v>3165</v>
      </c>
      <c r="K5" s="2">
        <v>0.84</v>
      </c>
      <c r="L5" s="2">
        <v>0.78</v>
      </c>
      <c r="M5">
        <v>49</v>
      </c>
      <c r="N5">
        <v>8</v>
      </c>
      <c r="O5" s="2">
        <v>0.81</v>
      </c>
      <c r="P5" s="9">
        <v>5.9999999999999942E-2</v>
      </c>
    </row>
    <row r="6" spans="1:16" x14ac:dyDescent="0.25">
      <c r="A6">
        <v>34</v>
      </c>
      <c r="B6">
        <v>27385</v>
      </c>
      <c r="C6" t="s">
        <v>23</v>
      </c>
      <c r="D6" t="s">
        <v>18</v>
      </c>
      <c r="E6" t="s">
        <v>14</v>
      </c>
      <c r="F6" t="s">
        <v>24</v>
      </c>
      <c r="G6" s="1">
        <v>42462</v>
      </c>
      <c r="H6" s="1">
        <v>24785</v>
      </c>
      <c r="I6" t="s">
        <v>19</v>
      </c>
      <c r="J6">
        <v>20883</v>
      </c>
      <c r="K6" s="2">
        <v>0.85</v>
      </c>
      <c r="L6" s="2">
        <v>0.76</v>
      </c>
      <c r="M6">
        <v>57</v>
      </c>
      <c r="N6">
        <v>8</v>
      </c>
      <c r="O6" s="2">
        <v>0.80500000000000005</v>
      </c>
      <c r="P6" s="9">
        <v>8.9999999999999969E-2</v>
      </c>
    </row>
    <row r="7" spans="1:16" x14ac:dyDescent="0.25">
      <c r="A7">
        <v>61</v>
      </c>
      <c r="B7">
        <v>26389</v>
      </c>
      <c r="C7" t="s">
        <v>25</v>
      </c>
      <c r="D7" t="s">
        <v>18</v>
      </c>
      <c r="E7" t="s">
        <v>14</v>
      </c>
      <c r="F7" t="s">
        <v>15</v>
      </c>
      <c r="G7" s="1">
        <v>43071</v>
      </c>
      <c r="H7" s="1">
        <v>21695</v>
      </c>
      <c r="I7" t="s">
        <v>19</v>
      </c>
      <c r="J7">
        <v>13380</v>
      </c>
      <c r="K7" s="2">
        <v>0.8</v>
      </c>
      <c r="L7" s="2">
        <v>0.72</v>
      </c>
      <c r="M7">
        <v>66</v>
      </c>
      <c r="N7">
        <v>7</v>
      </c>
      <c r="O7" s="2">
        <v>0.76</v>
      </c>
      <c r="P7" s="9">
        <v>8.0000000000000071E-2</v>
      </c>
    </row>
    <row r="8" spans="1:16" x14ac:dyDescent="0.25">
      <c r="A8">
        <v>62</v>
      </c>
      <c r="B8">
        <v>30459</v>
      </c>
      <c r="C8" t="s">
        <v>26</v>
      </c>
      <c r="D8" t="s">
        <v>18</v>
      </c>
      <c r="E8" t="s">
        <v>14</v>
      </c>
      <c r="F8" t="s">
        <v>21</v>
      </c>
      <c r="G8" s="1">
        <v>43444</v>
      </c>
      <c r="H8" s="1">
        <v>25438</v>
      </c>
      <c r="I8" t="s">
        <v>19</v>
      </c>
      <c r="J8">
        <v>18856</v>
      </c>
      <c r="K8" s="2">
        <v>0.81</v>
      </c>
      <c r="L8" s="2">
        <v>0.48</v>
      </c>
      <c r="M8">
        <v>56</v>
      </c>
      <c r="N8">
        <v>6</v>
      </c>
      <c r="O8" s="2">
        <v>0.64500000000000002</v>
      </c>
      <c r="P8" s="9">
        <v>0.33000000000000007</v>
      </c>
    </row>
    <row r="9" spans="1:16" x14ac:dyDescent="0.25">
      <c r="A9">
        <v>74</v>
      </c>
      <c r="B9">
        <v>27780</v>
      </c>
      <c r="C9" t="s">
        <v>27</v>
      </c>
      <c r="D9" t="s">
        <v>18</v>
      </c>
      <c r="E9" t="s">
        <v>14</v>
      </c>
      <c r="F9" t="s">
        <v>21</v>
      </c>
      <c r="G9" s="1">
        <v>42403</v>
      </c>
      <c r="H9" s="1">
        <v>30445</v>
      </c>
      <c r="I9" t="s">
        <v>19</v>
      </c>
      <c r="J9">
        <v>13891</v>
      </c>
      <c r="K9" s="2">
        <v>0.86</v>
      </c>
      <c r="L9" s="2">
        <v>0.97</v>
      </c>
      <c r="M9">
        <v>42</v>
      </c>
      <c r="N9">
        <v>8</v>
      </c>
      <c r="O9" s="2">
        <v>0.91500000000000004</v>
      </c>
      <c r="P9" s="9">
        <v>-0.10999999999999999</v>
      </c>
    </row>
    <row r="10" spans="1:16" x14ac:dyDescent="0.25">
      <c r="A10">
        <v>75</v>
      </c>
      <c r="B10">
        <v>25907</v>
      </c>
      <c r="C10" t="s">
        <v>12</v>
      </c>
      <c r="D10" t="s">
        <v>18</v>
      </c>
      <c r="E10" t="s">
        <v>14</v>
      </c>
      <c r="F10" t="s">
        <v>24</v>
      </c>
      <c r="G10" s="1">
        <v>42417</v>
      </c>
      <c r="H10" s="1">
        <v>28157</v>
      </c>
      <c r="I10" t="s">
        <v>19</v>
      </c>
      <c r="J10">
        <v>19451</v>
      </c>
      <c r="K10" s="2">
        <v>0.77</v>
      </c>
      <c r="L10" s="2">
        <v>0.63</v>
      </c>
      <c r="M10">
        <v>48</v>
      </c>
      <c r="N10">
        <v>8</v>
      </c>
      <c r="O10" s="2">
        <v>0.7</v>
      </c>
      <c r="P10" s="9">
        <v>0.14000000000000001</v>
      </c>
    </row>
    <row r="11" spans="1:16" x14ac:dyDescent="0.25">
      <c r="A11">
        <v>86</v>
      </c>
      <c r="B11">
        <v>27144</v>
      </c>
      <c r="C11" t="s">
        <v>28</v>
      </c>
      <c r="D11" t="s">
        <v>18</v>
      </c>
      <c r="E11" t="s">
        <v>14</v>
      </c>
      <c r="F11" t="s">
        <v>15</v>
      </c>
      <c r="G11" s="1">
        <v>39102</v>
      </c>
      <c r="H11" s="1">
        <v>24807</v>
      </c>
      <c r="I11" t="s">
        <v>19</v>
      </c>
      <c r="J11">
        <v>2185</v>
      </c>
      <c r="K11" s="2">
        <v>0.79</v>
      </c>
      <c r="L11" s="2">
        <v>0.65</v>
      </c>
      <c r="M11">
        <v>57</v>
      </c>
      <c r="N11">
        <v>18</v>
      </c>
      <c r="O11" s="2">
        <v>0.72</v>
      </c>
      <c r="P11" s="9">
        <v>0.14000000000000001</v>
      </c>
    </row>
    <row r="12" spans="1:16" x14ac:dyDescent="0.25">
      <c r="A12">
        <v>1</v>
      </c>
      <c r="B12">
        <v>26434</v>
      </c>
      <c r="C12" t="s">
        <v>29</v>
      </c>
      <c r="D12" t="s">
        <v>30</v>
      </c>
      <c r="E12" t="s">
        <v>31</v>
      </c>
      <c r="F12" t="s">
        <v>24</v>
      </c>
      <c r="G12" s="1">
        <v>39036</v>
      </c>
      <c r="H12" s="1">
        <v>29537</v>
      </c>
      <c r="I12" t="s">
        <v>19</v>
      </c>
      <c r="J12">
        <v>20500</v>
      </c>
      <c r="K12" s="2">
        <v>0.82</v>
      </c>
      <c r="L12" s="2">
        <v>0.86</v>
      </c>
      <c r="M12">
        <v>44</v>
      </c>
      <c r="N12">
        <v>18</v>
      </c>
      <c r="O12" s="2">
        <v>0.84</v>
      </c>
      <c r="P12" s="9">
        <v>-4.0000000000000036E-2</v>
      </c>
    </row>
    <row r="13" spans="1:16" x14ac:dyDescent="0.25">
      <c r="A13">
        <v>6</v>
      </c>
      <c r="B13">
        <v>27154</v>
      </c>
      <c r="C13" t="s">
        <v>32</v>
      </c>
      <c r="D13" t="s">
        <v>33</v>
      </c>
      <c r="E13" t="s">
        <v>31</v>
      </c>
      <c r="F13" t="s">
        <v>24</v>
      </c>
      <c r="G13" s="1">
        <v>37121</v>
      </c>
      <c r="H13" s="1">
        <v>24296</v>
      </c>
      <c r="I13" t="s">
        <v>19</v>
      </c>
      <c r="J13">
        <v>17233</v>
      </c>
      <c r="K13" s="2">
        <v>0.89</v>
      </c>
      <c r="L13" s="2">
        <v>0.41</v>
      </c>
      <c r="M13">
        <v>59</v>
      </c>
      <c r="N13">
        <v>23</v>
      </c>
      <c r="O13" s="2">
        <v>0.65</v>
      </c>
      <c r="P13" s="9">
        <v>0.48000000000000004</v>
      </c>
    </row>
    <row r="14" spans="1:16" x14ac:dyDescent="0.25">
      <c r="A14">
        <v>7</v>
      </c>
      <c r="B14">
        <v>27008</v>
      </c>
      <c r="C14" t="s">
        <v>34</v>
      </c>
      <c r="D14" t="s">
        <v>35</v>
      </c>
      <c r="E14" t="s">
        <v>31</v>
      </c>
      <c r="F14" t="s">
        <v>21</v>
      </c>
      <c r="G14" s="1">
        <v>37758</v>
      </c>
      <c r="H14" s="1">
        <v>30195</v>
      </c>
      <c r="I14" t="s">
        <v>19</v>
      </c>
      <c r="J14">
        <v>19987</v>
      </c>
      <c r="K14" s="2">
        <v>0.76</v>
      </c>
      <c r="L14" s="2">
        <v>0.55000000000000004</v>
      </c>
      <c r="M14">
        <v>42</v>
      </c>
      <c r="N14">
        <v>21</v>
      </c>
      <c r="O14" s="2">
        <v>0.65500000000000003</v>
      </c>
      <c r="P14" s="9">
        <v>0.20999999999999996</v>
      </c>
    </row>
    <row r="15" spans="1:16" x14ac:dyDescent="0.25">
      <c r="A15">
        <v>8</v>
      </c>
      <c r="B15">
        <v>27621</v>
      </c>
      <c r="C15" t="s">
        <v>36</v>
      </c>
      <c r="D15" t="s">
        <v>37</v>
      </c>
      <c r="E15" t="s">
        <v>31</v>
      </c>
      <c r="F15" t="s">
        <v>15</v>
      </c>
      <c r="G15" s="1">
        <v>39600</v>
      </c>
      <c r="H15" s="1">
        <v>29625</v>
      </c>
      <c r="I15" t="s">
        <v>19</v>
      </c>
      <c r="J15">
        <v>23537</v>
      </c>
      <c r="K15" s="2">
        <v>0.87</v>
      </c>
      <c r="L15" s="2">
        <v>0.69</v>
      </c>
      <c r="M15">
        <v>44</v>
      </c>
      <c r="N15">
        <v>16</v>
      </c>
      <c r="O15" s="2">
        <v>0.78</v>
      </c>
      <c r="P15" s="9">
        <v>0.18000000000000005</v>
      </c>
    </row>
    <row r="16" spans="1:16" x14ac:dyDescent="0.25">
      <c r="A16">
        <v>26</v>
      </c>
      <c r="B16">
        <v>27374</v>
      </c>
      <c r="C16" t="s">
        <v>25</v>
      </c>
      <c r="D16" t="s">
        <v>35</v>
      </c>
      <c r="E16" t="s">
        <v>31</v>
      </c>
      <c r="F16" t="s">
        <v>24</v>
      </c>
      <c r="G16" s="1">
        <v>42491</v>
      </c>
      <c r="H16" s="1">
        <v>27603</v>
      </c>
      <c r="I16" t="s">
        <v>19</v>
      </c>
      <c r="J16">
        <v>7935</v>
      </c>
      <c r="K16" s="2">
        <v>0.83</v>
      </c>
      <c r="L16" s="2">
        <v>0.41</v>
      </c>
      <c r="M16">
        <v>50</v>
      </c>
      <c r="N16">
        <v>8</v>
      </c>
      <c r="O16" s="2">
        <v>0.62</v>
      </c>
      <c r="P16" s="9">
        <v>0.42</v>
      </c>
    </row>
    <row r="17" spans="1:16" x14ac:dyDescent="0.25">
      <c r="A17">
        <v>27</v>
      </c>
      <c r="B17">
        <v>29368</v>
      </c>
      <c r="C17" t="s">
        <v>26</v>
      </c>
      <c r="D17" t="s">
        <v>33</v>
      </c>
      <c r="E17" t="s">
        <v>31</v>
      </c>
      <c r="F17" t="s">
        <v>21</v>
      </c>
      <c r="G17" s="1">
        <v>42515</v>
      </c>
      <c r="H17" s="1">
        <v>26982</v>
      </c>
      <c r="I17" t="s">
        <v>19</v>
      </c>
      <c r="J17">
        <v>20121</v>
      </c>
      <c r="K17" s="2">
        <v>0.8</v>
      </c>
      <c r="L17" s="2">
        <v>0.64</v>
      </c>
      <c r="M17">
        <v>51</v>
      </c>
      <c r="N17">
        <v>8</v>
      </c>
      <c r="O17" s="2">
        <v>0.72</v>
      </c>
      <c r="P17" s="9">
        <v>0.16000000000000003</v>
      </c>
    </row>
    <row r="18" spans="1:16" x14ac:dyDescent="0.25">
      <c r="A18">
        <v>28</v>
      </c>
      <c r="B18">
        <v>27092</v>
      </c>
      <c r="C18" t="s">
        <v>38</v>
      </c>
      <c r="D18" t="s">
        <v>35</v>
      </c>
      <c r="E18" t="s">
        <v>31</v>
      </c>
      <c r="F18" t="s">
        <v>24</v>
      </c>
      <c r="G18" s="1">
        <v>42597</v>
      </c>
      <c r="H18" s="1">
        <v>29688</v>
      </c>
      <c r="I18" t="s">
        <v>19</v>
      </c>
      <c r="J18">
        <v>16408</v>
      </c>
      <c r="K18" s="2">
        <v>0.76</v>
      </c>
      <c r="L18" s="2">
        <v>0.91</v>
      </c>
      <c r="M18">
        <v>44</v>
      </c>
      <c r="N18">
        <v>8</v>
      </c>
      <c r="O18" s="2">
        <v>0.83499999999999996</v>
      </c>
      <c r="P18" s="9">
        <v>-0.15000000000000002</v>
      </c>
    </row>
    <row r="19" spans="1:16" x14ac:dyDescent="0.25">
      <c r="A19">
        <v>29</v>
      </c>
      <c r="B19">
        <v>26429</v>
      </c>
      <c r="C19" t="s">
        <v>39</v>
      </c>
      <c r="D19" t="s">
        <v>37</v>
      </c>
      <c r="E19" t="s">
        <v>31</v>
      </c>
      <c r="F19" t="s">
        <v>21</v>
      </c>
      <c r="G19" s="1">
        <v>35029</v>
      </c>
      <c r="H19" s="1">
        <v>30178</v>
      </c>
      <c r="I19" t="s">
        <v>19</v>
      </c>
      <c r="J19">
        <v>2323</v>
      </c>
      <c r="K19" s="2">
        <v>0.83</v>
      </c>
      <c r="L19" s="2">
        <v>0.75</v>
      </c>
      <c r="M19">
        <v>42</v>
      </c>
      <c r="N19">
        <v>29</v>
      </c>
      <c r="O19" s="2">
        <v>0.79</v>
      </c>
      <c r="P19" s="9">
        <v>7.999999999999996E-2</v>
      </c>
    </row>
    <row r="20" spans="1:16" x14ac:dyDescent="0.25">
      <c r="A20">
        <v>46</v>
      </c>
      <c r="B20">
        <v>26994</v>
      </c>
      <c r="C20" t="s">
        <v>40</v>
      </c>
      <c r="D20" t="s">
        <v>35</v>
      </c>
      <c r="E20" t="s">
        <v>31</v>
      </c>
      <c r="F20" t="s">
        <v>24</v>
      </c>
      <c r="G20" s="1">
        <v>35855</v>
      </c>
      <c r="H20" s="1">
        <v>24091</v>
      </c>
      <c r="I20" t="s">
        <v>19</v>
      </c>
      <c r="J20">
        <v>6553</v>
      </c>
      <c r="K20" s="2">
        <v>0.75</v>
      </c>
      <c r="L20" s="2">
        <v>0.75</v>
      </c>
      <c r="M20">
        <v>59</v>
      </c>
      <c r="N20">
        <v>27</v>
      </c>
      <c r="O20" s="2">
        <v>0.75</v>
      </c>
      <c r="P20" s="9">
        <v>0</v>
      </c>
    </row>
    <row r="21" spans="1:16" x14ac:dyDescent="0.25">
      <c r="A21">
        <v>47</v>
      </c>
      <c r="B21">
        <v>27007</v>
      </c>
      <c r="C21" t="s">
        <v>41</v>
      </c>
      <c r="D21" t="s">
        <v>33</v>
      </c>
      <c r="E21" t="s">
        <v>31</v>
      </c>
      <c r="F21" t="s">
        <v>24</v>
      </c>
      <c r="G21" s="1">
        <v>36544</v>
      </c>
      <c r="H21" s="1">
        <v>28423</v>
      </c>
      <c r="I21" t="s">
        <v>19</v>
      </c>
      <c r="J21">
        <v>13054</v>
      </c>
      <c r="K21" s="2">
        <v>0.82</v>
      </c>
      <c r="L21" s="2">
        <v>0.48</v>
      </c>
      <c r="M21">
        <v>47</v>
      </c>
      <c r="N21">
        <v>25</v>
      </c>
      <c r="O21" s="2">
        <v>0.65</v>
      </c>
      <c r="P21" s="9">
        <v>0.33999999999999997</v>
      </c>
    </row>
    <row r="22" spans="1:16" x14ac:dyDescent="0.25">
      <c r="A22">
        <v>48</v>
      </c>
      <c r="B22">
        <v>26424</v>
      </c>
      <c r="C22" t="s">
        <v>17</v>
      </c>
      <c r="D22" t="s">
        <v>35</v>
      </c>
      <c r="E22" t="s">
        <v>31</v>
      </c>
      <c r="F22" t="s">
        <v>24</v>
      </c>
      <c r="G22" s="1">
        <v>37118</v>
      </c>
      <c r="H22" s="1">
        <v>27130</v>
      </c>
      <c r="I22" t="s">
        <v>19</v>
      </c>
      <c r="J22">
        <v>20909</v>
      </c>
      <c r="K22" s="2">
        <v>0.88</v>
      </c>
      <c r="L22" s="2">
        <v>0.46</v>
      </c>
      <c r="M22">
        <v>51</v>
      </c>
      <c r="N22">
        <v>23</v>
      </c>
      <c r="O22" s="2">
        <v>0.67</v>
      </c>
      <c r="P22" s="9">
        <v>0.42</v>
      </c>
    </row>
    <row r="23" spans="1:16" x14ac:dyDescent="0.25">
      <c r="A23">
        <v>49</v>
      </c>
      <c r="B23">
        <v>26415</v>
      </c>
      <c r="C23" t="s">
        <v>20</v>
      </c>
      <c r="D23" t="s">
        <v>37</v>
      </c>
      <c r="E23" t="s">
        <v>31</v>
      </c>
      <c r="F23" t="s">
        <v>21</v>
      </c>
      <c r="G23" s="1">
        <v>37460</v>
      </c>
      <c r="H23" s="1">
        <v>25427</v>
      </c>
      <c r="I23" t="s">
        <v>19</v>
      </c>
      <c r="J23">
        <v>23771</v>
      </c>
      <c r="K23" s="2">
        <v>0.88</v>
      </c>
      <c r="L23" s="2">
        <v>0.63</v>
      </c>
      <c r="M23">
        <v>56</v>
      </c>
      <c r="N23">
        <v>22</v>
      </c>
      <c r="O23" s="2">
        <v>0.755</v>
      </c>
      <c r="P23" s="9">
        <v>0.25</v>
      </c>
    </row>
    <row r="24" spans="1:16" x14ac:dyDescent="0.25">
      <c r="A24">
        <v>54</v>
      </c>
      <c r="B24">
        <v>27143</v>
      </c>
      <c r="C24" t="s">
        <v>42</v>
      </c>
      <c r="D24" t="s">
        <v>35</v>
      </c>
      <c r="E24" t="s">
        <v>31</v>
      </c>
      <c r="F24" t="s">
        <v>24</v>
      </c>
      <c r="G24" s="1">
        <v>41748</v>
      </c>
      <c r="H24" s="1">
        <v>25434</v>
      </c>
      <c r="I24" t="s">
        <v>19</v>
      </c>
      <c r="J24">
        <v>8529</v>
      </c>
      <c r="K24" s="2">
        <v>0.83</v>
      </c>
      <c r="L24" s="2">
        <v>0.77</v>
      </c>
      <c r="M24">
        <v>56</v>
      </c>
      <c r="N24">
        <v>10</v>
      </c>
      <c r="O24" s="2">
        <v>0.8</v>
      </c>
      <c r="P24" s="9">
        <v>5.9999999999999942E-2</v>
      </c>
    </row>
    <row r="25" spans="1:16" x14ac:dyDescent="0.25">
      <c r="A25">
        <v>55</v>
      </c>
      <c r="B25">
        <v>27393</v>
      </c>
      <c r="C25" t="s">
        <v>43</v>
      </c>
      <c r="D25" t="s">
        <v>33</v>
      </c>
      <c r="E25" t="s">
        <v>31</v>
      </c>
      <c r="F25" t="s">
        <v>15</v>
      </c>
      <c r="G25" s="1">
        <v>41977</v>
      </c>
      <c r="H25" s="1">
        <v>29527</v>
      </c>
      <c r="I25" t="s">
        <v>19</v>
      </c>
      <c r="J25">
        <v>3453</v>
      </c>
      <c r="K25" s="2">
        <v>0.87</v>
      </c>
      <c r="L25" s="2">
        <v>0.83</v>
      </c>
      <c r="M25">
        <v>44</v>
      </c>
      <c r="N25">
        <v>10</v>
      </c>
      <c r="O25" s="2">
        <v>0.85</v>
      </c>
      <c r="P25" s="9">
        <v>4.0000000000000036E-2</v>
      </c>
    </row>
    <row r="26" spans="1:16" x14ac:dyDescent="0.25">
      <c r="A26">
        <v>56</v>
      </c>
      <c r="B26">
        <v>30351</v>
      </c>
      <c r="C26" t="s">
        <v>44</v>
      </c>
      <c r="D26" t="s">
        <v>35</v>
      </c>
      <c r="E26" t="s">
        <v>31</v>
      </c>
      <c r="F26" t="s">
        <v>15</v>
      </c>
      <c r="G26" s="1">
        <v>42053</v>
      </c>
      <c r="H26" s="1">
        <v>27098</v>
      </c>
      <c r="I26" t="s">
        <v>19</v>
      </c>
      <c r="J26">
        <v>14170</v>
      </c>
      <c r="K26" s="2">
        <v>0.77</v>
      </c>
      <c r="L26" s="2">
        <v>0.89</v>
      </c>
      <c r="M26">
        <v>51</v>
      </c>
      <c r="N26">
        <v>9</v>
      </c>
      <c r="O26" s="2">
        <v>0.83</v>
      </c>
      <c r="P26" s="9">
        <v>-0.12</v>
      </c>
    </row>
    <row r="27" spans="1:16" x14ac:dyDescent="0.25">
      <c r="A27">
        <v>57</v>
      </c>
      <c r="B27">
        <v>26441</v>
      </c>
      <c r="C27" t="s">
        <v>45</v>
      </c>
      <c r="D27" t="s">
        <v>37</v>
      </c>
      <c r="E27" t="s">
        <v>31</v>
      </c>
      <c r="F27" t="s">
        <v>21</v>
      </c>
      <c r="G27" s="1">
        <v>42597</v>
      </c>
      <c r="H27" s="1">
        <v>30987</v>
      </c>
      <c r="I27" t="s">
        <v>19</v>
      </c>
      <c r="J27">
        <v>3254</v>
      </c>
      <c r="K27" s="2">
        <v>0.81</v>
      </c>
      <c r="L27" s="2">
        <v>0.85</v>
      </c>
      <c r="M27">
        <v>40</v>
      </c>
      <c r="N27">
        <v>8</v>
      </c>
      <c r="O27" s="2">
        <v>0.83</v>
      </c>
      <c r="P27" s="9">
        <v>-3.9999999999999925E-2</v>
      </c>
    </row>
    <row r="28" spans="1:16" x14ac:dyDescent="0.25">
      <c r="A28">
        <v>67</v>
      </c>
      <c r="B28">
        <v>27009</v>
      </c>
      <c r="C28" t="s">
        <v>46</v>
      </c>
      <c r="D28" t="s">
        <v>35</v>
      </c>
      <c r="E28" t="s">
        <v>31</v>
      </c>
      <c r="F28" t="s">
        <v>15</v>
      </c>
      <c r="G28" s="1">
        <v>38816</v>
      </c>
      <c r="H28" s="1">
        <v>24781</v>
      </c>
      <c r="I28" t="s">
        <v>19</v>
      </c>
      <c r="J28">
        <v>5735</v>
      </c>
      <c r="K28" s="2">
        <v>0.82</v>
      </c>
      <c r="L28" s="2">
        <v>0.69</v>
      </c>
      <c r="M28">
        <v>57</v>
      </c>
      <c r="N28">
        <v>18</v>
      </c>
      <c r="O28" s="2">
        <v>0.755</v>
      </c>
      <c r="P28" s="9">
        <v>0.13</v>
      </c>
    </row>
    <row r="29" spans="1:16" x14ac:dyDescent="0.25">
      <c r="A29">
        <v>68</v>
      </c>
      <c r="B29">
        <v>26428</v>
      </c>
      <c r="C29" t="s">
        <v>22</v>
      </c>
      <c r="D29" t="s">
        <v>33</v>
      </c>
      <c r="E29" t="s">
        <v>31</v>
      </c>
      <c r="F29" t="s">
        <v>15</v>
      </c>
      <c r="G29" s="1">
        <v>39298</v>
      </c>
      <c r="H29" s="1">
        <v>25572</v>
      </c>
      <c r="I29" t="s">
        <v>19</v>
      </c>
      <c r="J29">
        <v>2725</v>
      </c>
      <c r="K29" s="2">
        <v>0.8</v>
      </c>
      <c r="L29" s="2">
        <v>0.54</v>
      </c>
      <c r="M29">
        <v>55</v>
      </c>
      <c r="N29">
        <v>17</v>
      </c>
      <c r="O29" s="2">
        <v>0.67</v>
      </c>
      <c r="P29" s="9">
        <v>0.26</v>
      </c>
    </row>
    <row r="30" spans="1:16" x14ac:dyDescent="0.25">
      <c r="A30">
        <v>69</v>
      </c>
      <c r="B30">
        <v>26417</v>
      </c>
      <c r="C30" t="s">
        <v>23</v>
      </c>
      <c r="D30" t="s">
        <v>35</v>
      </c>
      <c r="E30" t="s">
        <v>31</v>
      </c>
      <c r="F30" t="s">
        <v>24</v>
      </c>
      <c r="G30" s="1">
        <v>39725</v>
      </c>
      <c r="H30" s="1">
        <v>25981</v>
      </c>
      <c r="I30" t="s">
        <v>19</v>
      </c>
      <c r="J30">
        <v>5909</v>
      </c>
      <c r="K30" s="2">
        <v>0.76</v>
      </c>
      <c r="L30" s="2">
        <v>0.43</v>
      </c>
      <c r="M30">
        <v>54</v>
      </c>
      <c r="N30">
        <v>16</v>
      </c>
      <c r="O30" s="2">
        <v>0.59499999999999997</v>
      </c>
      <c r="P30" s="9">
        <v>0.33</v>
      </c>
    </row>
    <row r="31" spans="1:16" x14ac:dyDescent="0.25">
      <c r="A31">
        <v>70</v>
      </c>
      <c r="B31">
        <v>27150</v>
      </c>
      <c r="C31" t="s">
        <v>47</v>
      </c>
      <c r="D31" t="s">
        <v>37</v>
      </c>
      <c r="E31" t="s">
        <v>31</v>
      </c>
      <c r="F31" t="s">
        <v>24</v>
      </c>
      <c r="G31" s="1">
        <v>40180</v>
      </c>
      <c r="H31" s="1">
        <v>23726</v>
      </c>
      <c r="I31" t="s">
        <v>19</v>
      </c>
      <c r="J31">
        <v>11445</v>
      </c>
      <c r="K31" s="2">
        <v>0.8</v>
      </c>
      <c r="L31" s="2">
        <v>0.57999999999999996</v>
      </c>
      <c r="M31">
        <v>60</v>
      </c>
      <c r="N31">
        <v>15</v>
      </c>
      <c r="O31" s="2">
        <v>0.69</v>
      </c>
      <c r="P31" s="9">
        <v>0.22000000000000008</v>
      </c>
    </row>
    <row r="32" spans="1:16" x14ac:dyDescent="0.25">
      <c r="A32">
        <v>83</v>
      </c>
      <c r="B32">
        <v>26399</v>
      </c>
      <c r="C32" t="s">
        <v>20</v>
      </c>
      <c r="D32" t="s">
        <v>33</v>
      </c>
      <c r="E32" t="s">
        <v>31</v>
      </c>
      <c r="F32" t="s">
        <v>24</v>
      </c>
      <c r="G32" s="1">
        <v>37282</v>
      </c>
      <c r="H32" s="1">
        <v>30042</v>
      </c>
      <c r="I32" t="s">
        <v>19</v>
      </c>
      <c r="J32">
        <v>6834</v>
      </c>
      <c r="K32" s="2">
        <v>0.83</v>
      </c>
      <c r="L32" s="2">
        <v>0.64</v>
      </c>
      <c r="M32">
        <v>43</v>
      </c>
      <c r="N32">
        <v>23</v>
      </c>
      <c r="O32" s="2">
        <v>0.73499999999999999</v>
      </c>
      <c r="P32" s="9">
        <v>0.18999999999999995</v>
      </c>
    </row>
    <row r="33" spans="1:16" x14ac:dyDescent="0.25">
      <c r="A33">
        <v>84</v>
      </c>
      <c r="B33">
        <v>26442</v>
      </c>
      <c r="C33" t="s">
        <v>48</v>
      </c>
      <c r="D33" t="s">
        <v>35</v>
      </c>
      <c r="E33" t="s">
        <v>31</v>
      </c>
      <c r="F33" t="s">
        <v>15</v>
      </c>
      <c r="G33" s="1">
        <v>37975</v>
      </c>
      <c r="H33" s="1">
        <v>24969</v>
      </c>
      <c r="I33" t="s">
        <v>19</v>
      </c>
      <c r="J33">
        <v>1860</v>
      </c>
      <c r="K33" s="2">
        <v>0.89</v>
      </c>
      <c r="L33" s="2">
        <v>0.94</v>
      </c>
      <c r="M33">
        <v>57</v>
      </c>
      <c r="N33">
        <v>21</v>
      </c>
      <c r="O33" s="2">
        <v>0.91500000000000004</v>
      </c>
      <c r="P33" s="9">
        <v>-4.9999999999999933E-2</v>
      </c>
    </row>
    <row r="34" spans="1:16" x14ac:dyDescent="0.25">
      <c r="A34">
        <v>85</v>
      </c>
      <c r="B34">
        <v>25908</v>
      </c>
      <c r="C34" t="s">
        <v>49</v>
      </c>
      <c r="D34" t="s">
        <v>37</v>
      </c>
      <c r="E34" t="s">
        <v>31</v>
      </c>
      <c r="F34" t="s">
        <v>15</v>
      </c>
      <c r="G34" s="1">
        <v>38403</v>
      </c>
      <c r="H34" s="1">
        <v>26618</v>
      </c>
      <c r="I34" t="s">
        <v>19</v>
      </c>
      <c r="J34">
        <v>8730</v>
      </c>
      <c r="K34" s="2">
        <v>0.88</v>
      </c>
      <c r="L34" s="2">
        <v>0.95</v>
      </c>
      <c r="M34">
        <v>52</v>
      </c>
      <c r="N34">
        <v>20</v>
      </c>
      <c r="O34" s="2">
        <v>0.91500000000000004</v>
      </c>
      <c r="P34" s="9">
        <v>-6.9999999999999951E-2</v>
      </c>
    </row>
    <row r="35" spans="1:16" x14ac:dyDescent="0.25">
      <c r="A35">
        <v>3</v>
      </c>
      <c r="B35">
        <v>26446</v>
      </c>
      <c r="C35" t="s">
        <v>27</v>
      </c>
      <c r="D35" t="s">
        <v>50</v>
      </c>
      <c r="E35" t="s">
        <v>51</v>
      </c>
      <c r="F35" t="s">
        <v>21</v>
      </c>
      <c r="G35" s="1">
        <v>41498</v>
      </c>
      <c r="H35" s="1">
        <v>29990</v>
      </c>
      <c r="I35" t="s">
        <v>16</v>
      </c>
      <c r="J35">
        <v>25000</v>
      </c>
      <c r="K35" s="2">
        <v>0.8</v>
      </c>
      <c r="L35" s="2">
        <v>0.9</v>
      </c>
      <c r="M35">
        <v>43</v>
      </c>
      <c r="N35">
        <v>11</v>
      </c>
      <c r="O35" s="2">
        <v>0.85</v>
      </c>
      <c r="P35" s="9">
        <v>-9.9999999999999978E-2</v>
      </c>
    </row>
    <row r="36" spans="1:16" x14ac:dyDescent="0.25">
      <c r="A36">
        <v>9</v>
      </c>
      <c r="B36">
        <v>26412</v>
      </c>
      <c r="C36" t="s">
        <v>52</v>
      </c>
      <c r="D36" t="s">
        <v>53</v>
      </c>
      <c r="E36" t="s">
        <v>51</v>
      </c>
      <c r="F36" t="s">
        <v>24</v>
      </c>
      <c r="G36" s="1">
        <v>39767</v>
      </c>
      <c r="H36" s="1">
        <v>30733</v>
      </c>
      <c r="I36" t="s">
        <v>19</v>
      </c>
      <c r="J36">
        <v>11492</v>
      </c>
      <c r="K36" s="2">
        <v>0.81</v>
      </c>
      <c r="L36" s="2">
        <v>0.77</v>
      </c>
      <c r="M36">
        <v>41</v>
      </c>
      <c r="N36">
        <v>16</v>
      </c>
      <c r="O36" s="2">
        <v>0.79</v>
      </c>
      <c r="P36" s="9">
        <v>4.0000000000000036E-2</v>
      </c>
    </row>
    <row r="37" spans="1:16" x14ac:dyDescent="0.25">
      <c r="A37">
        <v>30</v>
      </c>
      <c r="B37">
        <v>25905</v>
      </c>
      <c r="C37" t="s">
        <v>54</v>
      </c>
      <c r="D37" t="s">
        <v>53</v>
      </c>
      <c r="E37" t="s">
        <v>51</v>
      </c>
      <c r="F37" t="s">
        <v>15</v>
      </c>
      <c r="G37" s="1">
        <v>41749</v>
      </c>
      <c r="H37" s="1">
        <v>23688</v>
      </c>
      <c r="I37" t="s">
        <v>19</v>
      </c>
      <c r="J37">
        <v>5578</v>
      </c>
      <c r="K37" s="2">
        <v>0.76</v>
      </c>
      <c r="L37" s="2">
        <v>0.97</v>
      </c>
      <c r="M37">
        <v>60</v>
      </c>
      <c r="N37">
        <v>10</v>
      </c>
      <c r="O37" s="2">
        <v>0.86499999999999999</v>
      </c>
      <c r="P37" s="9">
        <v>-0.20999999999999996</v>
      </c>
    </row>
    <row r="38" spans="1:16" x14ac:dyDescent="0.25">
      <c r="A38">
        <v>50</v>
      </c>
      <c r="B38">
        <v>30350</v>
      </c>
      <c r="C38" t="s">
        <v>48</v>
      </c>
      <c r="D38" t="s">
        <v>53</v>
      </c>
      <c r="E38" t="s">
        <v>51</v>
      </c>
      <c r="F38" t="s">
        <v>24</v>
      </c>
      <c r="G38" s="1">
        <v>37817</v>
      </c>
      <c r="H38" s="1">
        <v>25539</v>
      </c>
      <c r="I38" t="s">
        <v>19</v>
      </c>
      <c r="J38">
        <v>6348</v>
      </c>
      <c r="K38" s="2">
        <v>0.76</v>
      </c>
      <c r="L38" s="2">
        <v>0.69</v>
      </c>
      <c r="M38">
        <v>55</v>
      </c>
      <c r="N38">
        <v>21</v>
      </c>
      <c r="O38" s="2">
        <v>0.72499999999999998</v>
      </c>
      <c r="P38" s="9">
        <v>7.0000000000000062E-2</v>
      </c>
    </row>
    <row r="39" spans="1:16" x14ac:dyDescent="0.25">
      <c r="A39">
        <v>58</v>
      </c>
      <c r="B39">
        <v>30349</v>
      </c>
      <c r="C39" t="s">
        <v>55</v>
      </c>
      <c r="D39" t="s">
        <v>53</v>
      </c>
      <c r="E39" t="s">
        <v>51</v>
      </c>
      <c r="F39" t="s">
        <v>21</v>
      </c>
      <c r="G39" s="1">
        <v>42598</v>
      </c>
      <c r="H39" s="1">
        <v>25876</v>
      </c>
      <c r="I39" t="s">
        <v>19</v>
      </c>
      <c r="J39">
        <v>1952</v>
      </c>
      <c r="K39" s="2">
        <v>0.83</v>
      </c>
      <c r="L39" s="2">
        <v>0.76</v>
      </c>
      <c r="M39">
        <v>54</v>
      </c>
      <c r="N39">
        <v>8</v>
      </c>
      <c r="O39" s="2">
        <v>0.79500000000000004</v>
      </c>
      <c r="P39" s="9">
        <v>6.9999999999999951E-2</v>
      </c>
    </row>
    <row r="40" spans="1:16" x14ac:dyDescent="0.25">
      <c r="A40">
        <v>71</v>
      </c>
      <c r="B40">
        <v>30460</v>
      </c>
      <c r="C40" t="s">
        <v>56</v>
      </c>
      <c r="D40" t="s">
        <v>53</v>
      </c>
      <c r="E40" t="s">
        <v>51</v>
      </c>
      <c r="F40" t="s">
        <v>24</v>
      </c>
      <c r="G40" s="1">
        <v>40680</v>
      </c>
      <c r="H40" s="1">
        <v>28100</v>
      </c>
      <c r="I40" t="s">
        <v>19</v>
      </c>
      <c r="J40">
        <v>18214</v>
      </c>
      <c r="K40" s="2">
        <v>0.78</v>
      </c>
      <c r="L40" s="2">
        <v>0.64</v>
      </c>
      <c r="M40">
        <v>48</v>
      </c>
      <c r="N40">
        <v>13</v>
      </c>
      <c r="O40" s="2">
        <v>0.71</v>
      </c>
      <c r="P40" s="9">
        <v>0.14000000000000001</v>
      </c>
    </row>
    <row r="41" spans="1:16" x14ac:dyDescent="0.25">
      <c r="A41">
        <v>3</v>
      </c>
      <c r="B41">
        <v>26446</v>
      </c>
      <c r="C41" t="s">
        <v>27</v>
      </c>
      <c r="D41" t="s">
        <v>50</v>
      </c>
      <c r="E41" t="s">
        <v>51</v>
      </c>
      <c r="F41" t="s">
        <v>21</v>
      </c>
      <c r="G41" s="1">
        <v>41498</v>
      </c>
      <c r="H41" s="1">
        <v>29990</v>
      </c>
      <c r="I41" t="s">
        <v>16</v>
      </c>
      <c r="J41">
        <v>25000</v>
      </c>
      <c r="K41" s="2">
        <v>0.8</v>
      </c>
      <c r="L41" s="2">
        <v>0.9</v>
      </c>
      <c r="M41">
        <v>43</v>
      </c>
      <c r="N41">
        <v>11</v>
      </c>
      <c r="O41" s="2">
        <v>0.85</v>
      </c>
      <c r="P41" s="9">
        <v>-9.9999999999999978E-2</v>
      </c>
    </row>
    <row r="42" spans="1:16" x14ac:dyDescent="0.25">
      <c r="A42">
        <v>9</v>
      </c>
      <c r="B42">
        <v>26412</v>
      </c>
      <c r="C42" t="s">
        <v>52</v>
      </c>
      <c r="D42" t="s">
        <v>53</v>
      </c>
      <c r="E42" t="s">
        <v>51</v>
      </c>
      <c r="F42" t="s">
        <v>24</v>
      </c>
      <c r="G42" s="1">
        <v>39767</v>
      </c>
      <c r="H42" s="1">
        <v>30733</v>
      </c>
      <c r="I42" t="s">
        <v>19</v>
      </c>
      <c r="J42">
        <v>11492</v>
      </c>
      <c r="K42" s="2">
        <v>0.81</v>
      </c>
      <c r="L42" s="2">
        <v>0.77</v>
      </c>
      <c r="M42">
        <v>41</v>
      </c>
      <c r="N42">
        <v>16</v>
      </c>
      <c r="O42" s="2">
        <v>0.79</v>
      </c>
      <c r="P42" s="9">
        <v>4.0000000000000036E-2</v>
      </c>
    </row>
    <row r="43" spans="1:16" x14ac:dyDescent="0.25">
      <c r="A43">
        <v>30</v>
      </c>
      <c r="B43">
        <v>25905</v>
      </c>
      <c r="C43" t="s">
        <v>54</v>
      </c>
      <c r="D43" t="s">
        <v>53</v>
      </c>
      <c r="E43" t="s">
        <v>51</v>
      </c>
      <c r="F43" t="s">
        <v>15</v>
      </c>
      <c r="G43" s="1">
        <v>41749</v>
      </c>
      <c r="H43" s="1">
        <v>23688</v>
      </c>
      <c r="I43" t="s">
        <v>19</v>
      </c>
      <c r="J43">
        <v>5578</v>
      </c>
      <c r="K43" s="2">
        <v>0.76</v>
      </c>
      <c r="L43" s="2">
        <v>0.97</v>
      </c>
      <c r="M43">
        <v>60</v>
      </c>
      <c r="N43">
        <v>10</v>
      </c>
      <c r="O43" s="2">
        <v>0.86499999999999999</v>
      </c>
      <c r="P43" s="9">
        <v>-0.20999999999999996</v>
      </c>
    </row>
    <row r="44" spans="1:16" x14ac:dyDescent="0.25">
      <c r="A44">
        <v>50</v>
      </c>
      <c r="B44">
        <v>30350</v>
      </c>
      <c r="C44" t="s">
        <v>48</v>
      </c>
      <c r="D44" t="s">
        <v>53</v>
      </c>
      <c r="E44" t="s">
        <v>51</v>
      </c>
      <c r="F44" t="s">
        <v>24</v>
      </c>
      <c r="G44" s="1">
        <v>37817</v>
      </c>
      <c r="H44" s="1">
        <v>25539</v>
      </c>
      <c r="I44" t="s">
        <v>19</v>
      </c>
      <c r="J44">
        <v>6348</v>
      </c>
      <c r="K44" s="2">
        <v>0.76</v>
      </c>
      <c r="L44" s="2">
        <v>0.69</v>
      </c>
      <c r="M44">
        <v>55</v>
      </c>
      <c r="N44">
        <v>21</v>
      </c>
      <c r="O44" s="2">
        <v>0.72499999999999998</v>
      </c>
      <c r="P44" s="9">
        <v>7.0000000000000062E-2</v>
      </c>
    </row>
    <row r="45" spans="1:16" x14ac:dyDescent="0.25">
      <c r="A45">
        <v>58</v>
      </c>
      <c r="B45">
        <v>30349</v>
      </c>
      <c r="C45" t="s">
        <v>55</v>
      </c>
      <c r="D45" t="s">
        <v>53</v>
      </c>
      <c r="E45" t="s">
        <v>51</v>
      </c>
      <c r="F45" t="s">
        <v>21</v>
      </c>
      <c r="G45" s="1">
        <v>42598</v>
      </c>
      <c r="H45" s="1">
        <v>25876</v>
      </c>
      <c r="I45" t="s">
        <v>19</v>
      </c>
      <c r="J45">
        <v>1952</v>
      </c>
      <c r="K45" s="2">
        <v>0.83</v>
      </c>
      <c r="L45" s="2">
        <v>0.76</v>
      </c>
      <c r="M45">
        <v>54</v>
      </c>
      <c r="N45">
        <v>8</v>
      </c>
      <c r="O45" s="2">
        <v>0.79500000000000004</v>
      </c>
      <c r="P45" s="9">
        <v>6.9999999999999951E-2</v>
      </c>
    </row>
    <row r="46" spans="1:16" x14ac:dyDescent="0.25">
      <c r="A46">
        <v>71</v>
      </c>
      <c r="B46">
        <v>30460</v>
      </c>
      <c r="C46" t="s">
        <v>56</v>
      </c>
      <c r="D46" t="s">
        <v>53</v>
      </c>
      <c r="E46" t="s">
        <v>51</v>
      </c>
      <c r="F46" t="s">
        <v>24</v>
      </c>
      <c r="G46" s="1">
        <v>40680</v>
      </c>
      <c r="H46" s="1">
        <v>28100</v>
      </c>
      <c r="I46" t="s">
        <v>19</v>
      </c>
      <c r="J46">
        <v>18214</v>
      </c>
      <c r="K46" s="2">
        <v>0.78</v>
      </c>
      <c r="L46" s="2">
        <v>0.64</v>
      </c>
      <c r="M46">
        <v>48</v>
      </c>
      <c r="N46">
        <v>13</v>
      </c>
      <c r="O46" s="2">
        <v>0.71</v>
      </c>
      <c r="P46" s="9">
        <v>0.14000000000000001</v>
      </c>
    </row>
    <row r="47" spans="1:16" x14ac:dyDescent="0.25">
      <c r="A47">
        <v>2</v>
      </c>
      <c r="B47">
        <v>28127</v>
      </c>
      <c r="C47" t="s">
        <v>57</v>
      </c>
      <c r="D47" t="s">
        <v>58</v>
      </c>
      <c r="E47" t="s">
        <v>59</v>
      </c>
      <c r="F47" t="s">
        <v>24</v>
      </c>
      <c r="G47" s="1">
        <v>40919</v>
      </c>
      <c r="H47" s="1">
        <v>23989</v>
      </c>
      <c r="I47" t="s">
        <v>16</v>
      </c>
      <c r="J47">
        <v>21575</v>
      </c>
      <c r="K47" s="2">
        <v>0.86</v>
      </c>
      <c r="L47" s="2">
        <v>0.87</v>
      </c>
      <c r="M47">
        <v>60</v>
      </c>
      <c r="N47">
        <v>13</v>
      </c>
      <c r="O47" s="2">
        <v>0.86499999999999999</v>
      </c>
      <c r="P47" s="9">
        <v>-1.0000000000000009E-2</v>
      </c>
    </row>
    <row r="48" spans="1:16" x14ac:dyDescent="0.25">
      <c r="A48">
        <v>14</v>
      </c>
      <c r="B48">
        <v>26422</v>
      </c>
      <c r="C48" t="s">
        <v>48</v>
      </c>
      <c r="D48" t="s">
        <v>60</v>
      </c>
      <c r="E48" t="s">
        <v>59</v>
      </c>
      <c r="F48" t="s">
        <v>15</v>
      </c>
      <c r="G48" s="1">
        <v>38398</v>
      </c>
      <c r="H48" s="1">
        <v>23333</v>
      </c>
      <c r="I48" t="s">
        <v>19</v>
      </c>
      <c r="J48">
        <v>19023</v>
      </c>
      <c r="K48" s="2">
        <v>0.78</v>
      </c>
      <c r="L48" s="2">
        <v>0.89</v>
      </c>
      <c r="M48">
        <v>61</v>
      </c>
      <c r="N48">
        <v>20</v>
      </c>
      <c r="O48" s="2">
        <v>0.83499999999999996</v>
      </c>
      <c r="P48" s="9">
        <v>-0.10999999999999999</v>
      </c>
    </row>
    <row r="49" spans="1:16" x14ac:dyDescent="0.25">
      <c r="A49">
        <v>15</v>
      </c>
      <c r="B49">
        <v>26414</v>
      </c>
      <c r="C49" t="s">
        <v>49</v>
      </c>
      <c r="D49" t="s">
        <v>61</v>
      </c>
      <c r="E49" t="s">
        <v>59</v>
      </c>
      <c r="F49" t="s">
        <v>24</v>
      </c>
      <c r="G49" s="1">
        <v>40292</v>
      </c>
      <c r="H49" s="1">
        <v>26435</v>
      </c>
      <c r="I49" t="s">
        <v>19</v>
      </c>
      <c r="J49">
        <v>12801</v>
      </c>
      <c r="K49" s="2">
        <v>0.75</v>
      </c>
      <c r="L49" s="2">
        <v>0.76</v>
      </c>
      <c r="M49">
        <v>53</v>
      </c>
      <c r="N49">
        <v>14</v>
      </c>
      <c r="O49" s="2">
        <v>0.755</v>
      </c>
      <c r="P49" s="9">
        <v>-1.0000000000000009E-2</v>
      </c>
    </row>
    <row r="50" spans="1:16" x14ac:dyDescent="0.25">
      <c r="A50">
        <v>24</v>
      </c>
      <c r="B50">
        <v>30352</v>
      </c>
      <c r="C50" t="s">
        <v>62</v>
      </c>
      <c r="D50" t="s">
        <v>61</v>
      </c>
      <c r="E50" t="s">
        <v>59</v>
      </c>
      <c r="F50" t="s">
        <v>15</v>
      </c>
      <c r="G50" s="1">
        <v>42483</v>
      </c>
      <c r="H50" s="1">
        <v>25924</v>
      </c>
      <c r="I50" t="s">
        <v>19</v>
      </c>
      <c r="J50">
        <v>16742</v>
      </c>
      <c r="K50" s="2">
        <v>0.87</v>
      </c>
      <c r="L50" s="2">
        <v>0.87</v>
      </c>
      <c r="M50">
        <v>54</v>
      </c>
      <c r="N50">
        <v>8</v>
      </c>
      <c r="O50" s="2">
        <v>0.87</v>
      </c>
      <c r="P50" s="9">
        <v>0</v>
      </c>
    </row>
    <row r="51" spans="1:16" x14ac:dyDescent="0.25">
      <c r="A51">
        <v>25</v>
      </c>
      <c r="B51">
        <v>26726</v>
      </c>
      <c r="C51" t="s">
        <v>63</v>
      </c>
      <c r="D51" t="s">
        <v>61</v>
      </c>
      <c r="E51" t="s">
        <v>59</v>
      </c>
      <c r="F51" t="s">
        <v>15</v>
      </c>
      <c r="G51" s="1">
        <v>42490</v>
      </c>
      <c r="H51" s="1">
        <v>30587</v>
      </c>
      <c r="I51" t="s">
        <v>19</v>
      </c>
      <c r="J51">
        <v>15635</v>
      </c>
      <c r="K51" s="2">
        <v>0.84</v>
      </c>
      <c r="L51" s="2">
        <v>0.84</v>
      </c>
      <c r="M51">
        <v>41</v>
      </c>
      <c r="N51">
        <v>8</v>
      </c>
      <c r="O51" s="2">
        <v>0.84</v>
      </c>
      <c r="P51" s="9">
        <v>0</v>
      </c>
    </row>
    <row r="52" spans="1:16" x14ac:dyDescent="0.25">
      <c r="A52">
        <v>35</v>
      </c>
      <c r="B52">
        <v>26431</v>
      </c>
      <c r="C52" t="s">
        <v>64</v>
      </c>
      <c r="D52" t="s">
        <v>60</v>
      </c>
      <c r="E52" t="s">
        <v>59</v>
      </c>
      <c r="F52" t="s">
        <v>24</v>
      </c>
      <c r="G52" s="1">
        <v>42833</v>
      </c>
      <c r="H52" s="1">
        <v>30733</v>
      </c>
      <c r="I52" t="s">
        <v>19</v>
      </c>
      <c r="J52">
        <v>20897</v>
      </c>
      <c r="K52" s="2">
        <v>0.83</v>
      </c>
      <c r="L52" s="2">
        <v>0.67</v>
      </c>
      <c r="M52">
        <v>41</v>
      </c>
      <c r="N52">
        <v>7</v>
      </c>
      <c r="O52" s="2">
        <v>0.75</v>
      </c>
      <c r="P52" s="9">
        <v>0.15999999999999992</v>
      </c>
    </row>
    <row r="53" spans="1:16" x14ac:dyDescent="0.25">
      <c r="A53">
        <v>36</v>
      </c>
      <c r="B53">
        <v>26396</v>
      </c>
      <c r="C53" t="s">
        <v>47</v>
      </c>
      <c r="D53" t="s">
        <v>61</v>
      </c>
      <c r="E53" t="s">
        <v>59</v>
      </c>
      <c r="F53" t="s">
        <v>21</v>
      </c>
      <c r="G53" s="1">
        <v>41527</v>
      </c>
      <c r="H53" s="1">
        <v>27607</v>
      </c>
      <c r="I53" t="s">
        <v>19</v>
      </c>
      <c r="J53">
        <v>15730</v>
      </c>
      <c r="K53" s="2">
        <v>0.86</v>
      </c>
      <c r="L53" s="2">
        <v>0.53</v>
      </c>
      <c r="M53">
        <v>50</v>
      </c>
      <c r="N53">
        <v>11</v>
      </c>
      <c r="O53" s="2">
        <v>0.69499999999999995</v>
      </c>
      <c r="P53" s="9">
        <v>0.32999999999999996</v>
      </c>
    </row>
    <row r="54" spans="1:16" x14ac:dyDescent="0.25">
      <c r="A54">
        <v>44</v>
      </c>
      <c r="B54">
        <v>26445</v>
      </c>
      <c r="C54" t="s">
        <v>36</v>
      </c>
      <c r="D54" t="s">
        <v>61</v>
      </c>
      <c r="E54" t="s">
        <v>59</v>
      </c>
      <c r="F54" t="s">
        <v>24</v>
      </c>
      <c r="G54" s="1">
        <v>39671</v>
      </c>
      <c r="H54" s="1">
        <v>25496</v>
      </c>
      <c r="I54" t="s">
        <v>19</v>
      </c>
      <c r="J54">
        <v>16861</v>
      </c>
      <c r="K54" s="2">
        <v>0.87</v>
      </c>
      <c r="L54" s="2">
        <v>0.52</v>
      </c>
      <c r="M54">
        <v>55</v>
      </c>
      <c r="N54">
        <v>16</v>
      </c>
      <c r="O54" s="2">
        <v>0.69499999999999995</v>
      </c>
      <c r="P54" s="9">
        <v>0.35</v>
      </c>
    </row>
    <row r="55" spans="1:16" x14ac:dyDescent="0.25">
      <c r="A55">
        <v>45</v>
      </c>
      <c r="B55">
        <v>26400</v>
      </c>
      <c r="C55" t="s">
        <v>52</v>
      </c>
      <c r="D55" t="s">
        <v>61</v>
      </c>
      <c r="E55" t="s">
        <v>59</v>
      </c>
      <c r="F55" t="s">
        <v>15</v>
      </c>
      <c r="G55" s="1">
        <v>42084</v>
      </c>
      <c r="H55" s="1">
        <v>25856</v>
      </c>
      <c r="I55" t="s">
        <v>19</v>
      </c>
      <c r="J55">
        <v>5067</v>
      </c>
      <c r="K55" s="2">
        <v>0.86</v>
      </c>
      <c r="L55" s="2">
        <v>0.94</v>
      </c>
      <c r="M55">
        <v>54</v>
      </c>
      <c r="N55">
        <v>9</v>
      </c>
      <c r="O55" s="2">
        <v>0.9</v>
      </c>
      <c r="P55" s="9">
        <v>-7.999999999999996E-2</v>
      </c>
    </row>
    <row r="56" spans="1:16" x14ac:dyDescent="0.25">
      <c r="A56">
        <v>53</v>
      </c>
      <c r="B56">
        <v>26443</v>
      </c>
      <c r="C56" t="s">
        <v>65</v>
      </c>
      <c r="D56" t="s">
        <v>61</v>
      </c>
      <c r="E56" t="s">
        <v>59</v>
      </c>
      <c r="F56" t="s">
        <v>24</v>
      </c>
      <c r="G56" s="1">
        <v>39641</v>
      </c>
      <c r="H56" s="1">
        <v>25608</v>
      </c>
      <c r="I56" t="s">
        <v>19</v>
      </c>
      <c r="J56">
        <v>12903</v>
      </c>
      <c r="K56" s="2">
        <v>0.77</v>
      </c>
      <c r="L56" s="2">
        <v>0.75</v>
      </c>
      <c r="M56">
        <v>55</v>
      </c>
      <c r="N56">
        <v>16</v>
      </c>
      <c r="O56" s="2">
        <v>0.76</v>
      </c>
      <c r="P56" s="9">
        <v>2.0000000000000018E-2</v>
      </c>
    </row>
    <row r="57" spans="1:16" x14ac:dyDescent="0.25">
      <c r="A57">
        <v>63</v>
      </c>
      <c r="B57">
        <v>26610</v>
      </c>
      <c r="C57" t="s">
        <v>38</v>
      </c>
      <c r="D57" t="s">
        <v>60</v>
      </c>
      <c r="E57" t="s">
        <v>59</v>
      </c>
      <c r="F57" t="s">
        <v>15</v>
      </c>
      <c r="G57" s="1">
        <v>43121</v>
      </c>
      <c r="H57" s="1">
        <v>27200</v>
      </c>
      <c r="I57" t="s">
        <v>19</v>
      </c>
      <c r="J57">
        <v>4388</v>
      </c>
      <c r="K57" s="2">
        <v>0.86</v>
      </c>
      <c r="L57" s="2">
        <v>0.47</v>
      </c>
      <c r="M57">
        <v>51</v>
      </c>
      <c r="N57">
        <v>6</v>
      </c>
      <c r="O57" s="2">
        <v>0.66500000000000004</v>
      </c>
      <c r="P57" s="9">
        <v>0.39</v>
      </c>
    </row>
    <row r="58" spans="1:16" x14ac:dyDescent="0.25">
      <c r="A58">
        <v>64</v>
      </c>
      <c r="B58">
        <v>26404</v>
      </c>
      <c r="C58" t="s">
        <v>39</v>
      </c>
      <c r="D58" t="s">
        <v>61</v>
      </c>
      <c r="E58" t="s">
        <v>59</v>
      </c>
      <c r="F58" t="s">
        <v>15</v>
      </c>
      <c r="G58" s="1">
        <v>43463</v>
      </c>
      <c r="H58" s="1">
        <v>27167</v>
      </c>
      <c r="I58" t="s">
        <v>19</v>
      </c>
      <c r="J58">
        <v>15454</v>
      </c>
      <c r="K58" s="2">
        <v>0.87</v>
      </c>
      <c r="L58" s="2">
        <v>0.94</v>
      </c>
      <c r="M58">
        <v>51</v>
      </c>
      <c r="N58">
        <v>5</v>
      </c>
      <c r="O58" s="2">
        <v>0.90500000000000003</v>
      </c>
      <c r="P58" s="9">
        <v>-6.9999999999999951E-2</v>
      </c>
    </row>
    <row r="59" spans="1:16" x14ac:dyDescent="0.25">
      <c r="A59">
        <v>65</v>
      </c>
      <c r="B59">
        <v>26402</v>
      </c>
      <c r="C59" t="s">
        <v>54</v>
      </c>
      <c r="D59" t="s">
        <v>61</v>
      </c>
      <c r="E59" t="s">
        <v>59</v>
      </c>
      <c r="F59" t="s">
        <v>24</v>
      </c>
      <c r="G59" s="1">
        <v>37676</v>
      </c>
      <c r="H59" s="1">
        <v>25124</v>
      </c>
      <c r="I59" t="s">
        <v>19</v>
      </c>
      <c r="J59">
        <v>24472</v>
      </c>
      <c r="K59" s="2">
        <v>0.84</v>
      </c>
      <c r="L59" s="2">
        <v>0.52</v>
      </c>
      <c r="M59">
        <v>56</v>
      </c>
      <c r="N59">
        <v>22</v>
      </c>
      <c r="O59" s="2">
        <v>0.68</v>
      </c>
      <c r="P59" s="9">
        <v>0.31999999999999995</v>
      </c>
    </row>
    <row r="60" spans="1:16" x14ac:dyDescent="0.25">
      <c r="A60">
        <v>66</v>
      </c>
      <c r="B60">
        <v>26427</v>
      </c>
      <c r="C60" t="s">
        <v>66</v>
      </c>
      <c r="D60" t="s">
        <v>61</v>
      </c>
      <c r="E60" t="s">
        <v>59</v>
      </c>
      <c r="F60" t="s">
        <v>24</v>
      </c>
      <c r="G60" s="1">
        <v>37817</v>
      </c>
      <c r="H60" s="1">
        <v>23708</v>
      </c>
      <c r="I60" t="s">
        <v>19</v>
      </c>
      <c r="J60">
        <v>15992</v>
      </c>
      <c r="K60" s="2">
        <v>0.82</v>
      </c>
      <c r="L60" s="2">
        <v>0.91</v>
      </c>
      <c r="M60">
        <v>60</v>
      </c>
      <c r="N60">
        <v>21</v>
      </c>
      <c r="O60" s="2">
        <v>0.86499999999999999</v>
      </c>
      <c r="P60" s="9">
        <v>-9.000000000000008E-2</v>
      </c>
    </row>
    <row r="61" spans="1:16" x14ac:dyDescent="0.25">
      <c r="A61">
        <v>76</v>
      </c>
      <c r="B61">
        <v>26999</v>
      </c>
      <c r="C61" t="s">
        <v>67</v>
      </c>
      <c r="D61" t="s">
        <v>60</v>
      </c>
      <c r="E61" t="s">
        <v>59</v>
      </c>
      <c r="F61" t="s">
        <v>24</v>
      </c>
      <c r="G61" s="1">
        <v>42515</v>
      </c>
      <c r="H61" s="1">
        <v>24332</v>
      </c>
      <c r="I61" t="s">
        <v>19</v>
      </c>
      <c r="J61">
        <v>21183</v>
      </c>
      <c r="K61" s="2">
        <v>0.85</v>
      </c>
      <c r="L61" s="2">
        <v>0.66</v>
      </c>
      <c r="M61">
        <v>59</v>
      </c>
      <c r="N61">
        <v>8</v>
      </c>
      <c r="O61" s="2">
        <v>0.755</v>
      </c>
      <c r="P61" s="9">
        <v>0.18999999999999995</v>
      </c>
    </row>
    <row r="62" spans="1:16" x14ac:dyDescent="0.25">
      <c r="A62">
        <v>77</v>
      </c>
      <c r="B62">
        <v>28929</v>
      </c>
      <c r="C62" t="s">
        <v>32</v>
      </c>
      <c r="D62" t="s">
        <v>61</v>
      </c>
      <c r="E62" t="s">
        <v>59</v>
      </c>
      <c r="F62" t="s">
        <v>24</v>
      </c>
      <c r="G62" s="1">
        <v>41783</v>
      </c>
      <c r="H62" s="1">
        <v>25532</v>
      </c>
      <c r="I62" t="s">
        <v>19</v>
      </c>
      <c r="J62">
        <v>22459</v>
      </c>
      <c r="K62" s="2">
        <v>0.86</v>
      </c>
      <c r="L62" s="2">
        <v>0.43</v>
      </c>
      <c r="M62">
        <v>55</v>
      </c>
      <c r="N62">
        <v>10</v>
      </c>
      <c r="O62" s="2">
        <v>0.64500000000000002</v>
      </c>
      <c r="P62" s="9">
        <v>0.43</v>
      </c>
    </row>
    <row r="63" spans="1:16" x14ac:dyDescent="0.25">
      <c r="A63">
        <v>87</v>
      </c>
      <c r="B63">
        <v>26447</v>
      </c>
      <c r="C63" t="s">
        <v>65</v>
      </c>
      <c r="D63" t="s">
        <v>60</v>
      </c>
      <c r="E63" t="s">
        <v>59</v>
      </c>
      <c r="F63" t="s">
        <v>15</v>
      </c>
      <c r="G63" s="1">
        <v>39669</v>
      </c>
      <c r="H63" s="1">
        <v>29342</v>
      </c>
      <c r="I63" t="s">
        <v>19</v>
      </c>
      <c r="J63">
        <v>2227</v>
      </c>
      <c r="K63" s="2">
        <v>0.8</v>
      </c>
      <c r="L63" s="2">
        <v>0.59</v>
      </c>
      <c r="M63">
        <v>45</v>
      </c>
      <c r="N63">
        <v>16</v>
      </c>
      <c r="O63" s="2">
        <v>0.69499999999999995</v>
      </c>
      <c r="P63" s="9">
        <v>0.21000000000000008</v>
      </c>
    </row>
    <row r="64" spans="1:16" x14ac:dyDescent="0.25">
      <c r="A64">
        <v>88</v>
      </c>
      <c r="B64">
        <v>28227</v>
      </c>
      <c r="C64" t="s">
        <v>42</v>
      </c>
      <c r="D64" t="s">
        <v>61</v>
      </c>
      <c r="E64" t="s">
        <v>59</v>
      </c>
      <c r="F64" t="s">
        <v>15</v>
      </c>
      <c r="G64" s="1">
        <v>39767</v>
      </c>
      <c r="H64" s="1">
        <v>26395</v>
      </c>
      <c r="I64" t="s">
        <v>19</v>
      </c>
      <c r="J64">
        <v>1673</v>
      </c>
      <c r="K64" s="2">
        <v>0.78</v>
      </c>
      <c r="L64" s="2">
        <v>0.78</v>
      </c>
      <c r="M64">
        <v>53</v>
      </c>
      <c r="N64">
        <v>16</v>
      </c>
      <c r="O64" s="2">
        <v>0.78</v>
      </c>
      <c r="P64" s="9">
        <v>0</v>
      </c>
    </row>
    <row r="65" spans="1:16" x14ac:dyDescent="0.25">
      <c r="A65">
        <v>5</v>
      </c>
      <c r="B65">
        <v>27375</v>
      </c>
      <c r="C65" t="s">
        <v>67</v>
      </c>
      <c r="D65" t="s">
        <v>68</v>
      </c>
      <c r="E65" t="s">
        <v>69</v>
      </c>
      <c r="F65" t="s">
        <v>15</v>
      </c>
      <c r="G65" s="1">
        <v>36741</v>
      </c>
      <c r="H65" s="1">
        <v>29281</v>
      </c>
      <c r="I65" t="s">
        <v>19</v>
      </c>
      <c r="J65">
        <v>35000</v>
      </c>
      <c r="K65" s="2">
        <v>0.89</v>
      </c>
      <c r="L65" s="2">
        <v>0.52</v>
      </c>
      <c r="M65">
        <v>45</v>
      </c>
      <c r="N65">
        <v>24</v>
      </c>
      <c r="O65" s="2">
        <v>0.70499999999999996</v>
      </c>
      <c r="P65" s="9">
        <v>0.37</v>
      </c>
    </row>
    <row r="66" spans="1:16" x14ac:dyDescent="0.25">
      <c r="A66">
        <v>10</v>
      </c>
      <c r="B66">
        <v>30377</v>
      </c>
      <c r="C66" t="s">
        <v>40</v>
      </c>
      <c r="D66" t="s">
        <v>70</v>
      </c>
      <c r="E66" t="s">
        <v>69</v>
      </c>
      <c r="F66" t="s">
        <v>24</v>
      </c>
      <c r="G66" s="1">
        <v>40362</v>
      </c>
      <c r="H66" s="1">
        <v>25550</v>
      </c>
      <c r="I66" t="s">
        <v>71</v>
      </c>
      <c r="J66">
        <v>17456</v>
      </c>
      <c r="K66" s="2">
        <v>0.87</v>
      </c>
      <c r="L66" s="2">
        <v>0.97</v>
      </c>
      <c r="M66">
        <v>55</v>
      </c>
      <c r="N66">
        <v>14</v>
      </c>
      <c r="O66" s="2">
        <v>0.92</v>
      </c>
      <c r="P66" s="9">
        <v>-9.9999999999999978E-2</v>
      </c>
    </row>
    <row r="67" spans="1:16" x14ac:dyDescent="0.25">
      <c r="A67">
        <v>11</v>
      </c>
      <c r="B67">
        <v>29369</v>
      </c>
      <c r="C67" t="s">
        <v>41</v>
      </c>
      <c r="D67" t="s">
        <v>70</v>
      </c>
      <c r="E67" t="s">
        <v>69</v>
      </c>
      <c r="F67" t="s">
        <v>24</v>
      </c>
      <c r="G67" s="1">
        <v>42326</v>
      </c>
      <c r="H67" s="1">
        <v>28807</v>
      </c>
      <c r="I67" t="s">
        <v>71</v>
      </c>
      <c r="J67">
        <v>7943</v>
      </c>
      <c r="K67" s="2">
        <v>0.75</v>
      </c>
      <c r="L67" s="2">
        <v>0.7</v>
      </c>
      <c r="M67">
        <v>46</v>
      </c>
      <c r="N67">
        <v>9</v>
      </c>
      <c r="O67" s="2">
        <v>0.72499999999999998</v>
      </c>
      <c r="P67" s="9">
        <v>5.0000000000000044E-2</v>
      </c>
    </row>
    <row r="68" spans="1:16" x14ac:dyDescent="0.25">
      <c r="A68">
        <v>16</v>
      </c>
      <c r="B68">
        <v>27142</v>
      </c>
      <c r="C68" t="s">
        <v>28</v>
      </c>
      <c r="D68" t="s">
        <v>70</v>
      </c>
      <c r="E68" t="s">
        <v>69</v>
      </c>
      <c r="F68" t="s">
        <v>24</v>
      </c>
      <c r="G68" s="1">
        <v>40688</v>
      </c>
      <c r="H68" s="1">
        <v>26102</v>
      </c>
      <c r="I68" t="s">
        <v>71</v>
      </c>
      <c r="J68">
        <v>16613</v>
      </c>
      <c r="K68" s="2">
        <v>0.84</v>
      </c>
      <c r="L68" s="2">
        <v>0.42</v>
      </c>
      <c r="M68">
        <v>54</v>
      </c>
      <c r="N68">
        <v>13</v>
      </c>
      <c r="O68" s="2">
        <v>0.63</v>
      </c>
      <c r="P68" s="9">
        <v>0.42</v>
      </c>
    </row>
    <row r="69" spans="1:16" x14ac:dyDescent="0.25">
      <c r="A69">
        <v>17</v>
      </c>
      <c r="B69">
        <v>27650</v>
      </c>
      <c r="C69" t="s">
        <v>65</v>
      </c>
      <c r="D69" t="s">
        <v>70</v>
      </c>
      <c r="E69" t="s">
        <v>69</v>
      </c>
      <c r="F69" t="s">
        <v>24</v>
      </c>
      <c r="G69" s="1">
        <v>40726</v>
      </c>
      <c r="H69" s="1">
        <v>29194</v>
      </c>
      <c r="I69" t="s">
        <v>71</v>
      </c>
      <c r="J69">
        <v>6329</v>
      </c>
      <c r="K69" s="2">
        <v>0.81</v>
      </c>
      <c r="L69" s="2">
        <v>0.71</v>
      </c>
      <c r="M69">
        <v>45</v>
      </c>
      <c r="N69">
        <v>13</v>
      </c>
      <c r="O69" s="2">
        <v>0.76</v>
      </c>
      <c r="P69" s="9">
        <v>0.10000000000000009</v>
      </c>
    </row>
    <row r="70" spans="1:16" x14ac:dyDescent="0.25">
      <c r="A70">
        <v>18</v>
      </c>
      <c r="B70">
        <v>25906</v>
      </c>
      <c r="C70" t="s">
        <v>42</v>
      </c>
      <c r="D70" t="s">
        <v>70</v>
      </c>
      <c r="E70" t="s">
        <v>69</v>
      </c>
      <c r="F70" t="s">
        <v>15</v>
      </c>
      <c r="G70" s="1">
        <v>41498</v>
      </c>
      <c r="H70" s="1">
        <v>29664</v>
      </c>
      <c r="I70" t="s">
        <v>71</v>
      </c>
      <c r="J70">
        <v>17215</v>
      </c>
      <c r="K70" s="2">
        <v>0.8</v>
      </c>
      <c r="L70" s="2">
        <v>0.87</v>
      </c>
      <c r="M70">
        <v>44</v>
      </c>
      <c r="N70">
        <v>11</v>
      </c>
      <c r="O70" s="2">
        <v>0.83499999999999996</v>
      </c>
      <c r="P70" s="9">
        <v>-6.9999999999999951E-2</v>
      </c>
    </row>
    <row r="71" spans="1:16" x14ac:dyDescent="0.25">
      <c r="A71">
        <v>19</v>
      </c>
      <c r="B71">
        <v>26439</v>
      </c>
      <c r="C71" t="s">
        <v>43</v>
      </c>
      <c r="D71" t="s">
        <v>70</v>
      </c>
      <c r="E71" t="s">
        <v>69</v>
      </c>
      <c r="F71" t="s">
        <v>21</v>
      </c>
      <c r="G71" s="1">
        <v>41905</v>
      </c>
      <c r="H71" s="1">
        <v>25213</v>
      </c>
      <c r="I71" t="s">
        <v>71</v>
      </c>
      <c r="J71">
        <v>4799</v>
      </c>
      <c r="K71" s="2">
        <v>0.86</v>
      </c>
      <c r="L71" s="2">
        <v>0.64</v>
      </c>
      <c r="M71">
        <v>56</v>
      </c>
      <c r="N71">
        <v>10</v>
      </c>
      <c r="O71" s="2">
        <v>0.75</v>
      </c>
      <c r="P71" s="9">
        <v>0.21999999999999997</v>
      </c>
    </row>
    <row r="72" spans="1:16" x14ac:dyDescent="0.25">
      <c r="A72">
        <v>20</v>
      </c>
      <c r="B72">
        <v>26438</v>
      </c>
      <c r="C72" t="s">
        <v>44</v>
      </c>
      <c r="D72" t="s">
        <v>70</v>
      </c>
      <c r="E72" t="s">
        <v>69</v>
      </c>
      <c r="F72" t="s">
        <v>21</v>
      </c>
      <c r="G72" s="1">
        <v>41923</v>
      </c>
      <c r="H72" s="1">
        <v>25210</v>
      </c>
      <c r="I72" t="s">
        <v>71</v>
      </c>
      <c r="J72">
        <v>18547</v>
      </c>
      <c r="K72" s="2">
        <v>0.82</v>
      </c>
      <c r="L72" s="2">
        <v>0.65</v>
      </c>
      <c r="M72">
        <v>56</v>
      </c>
      <c r="N72">
        <v>10</v>
      </c>
      <c r="O72" s="2">
        <v>0.73499999999999999</v>
      </c>
      <c r="P72" s="9">
        <v>0.16999999999999993</v>
      </c>
    </row>
    <row r="73" spans="1:16" x14ac:dyDescent="0.25">
      <c r="A73">
        <v>21</v>
      </c>
      <c r="B73">
        <v>31456</v>
      </c>
      <c r="C73" t="s">
        <v>45</v>
      </c>
      <c r="D73" t="s">
        <v>70</v>
      </c>
      <c r="E73" t="s">
        <v>69</v>
      </c>
      <c r="F73" t="s">
        <v>24</v>
      </c>
      <c r="G73" s="1">
        <v>42105</v>
      </c>
      <c r="H73" s="1">
        <v>23312</v>
      </c>
      <c r="I73" t="s">
        <v>71</v>
      </c>
      <c r="J73">
        <v>4649</v>
      </c>
      <c r="K73" s="2">
        <v>0.75</v>
      </c>
      <c r="L73" s="2">
        <v>0.78</v>
      </c>
      <c r="M73">
        <v>61</v>
      </c>
      <c r="N73">
        <v>9</v>
      </c>
      <c r="O73" s="2">
        <v>0.76500000000000001</v>
      </c>
      <c r="P73" s="9">
        <v>-3.0000000000000027E-2</v>
      </c>
    </row>
    <row r="74" spans="1:16" x14ac:dyDescent="0.25">
      <c r="A74">
        <v>22</v>
      </c>
      <c r="B74">
        <v>27141</v>
      </c>
      <c r="C74" t="s">
        <v>55</v>
      </c>
      <c r="D74" t="s">
        <v>70</v>
      </c>
      <c r="E74" t="s">
        <v>69</v>
      </c>
      <c r="F74" t="s">
        <v>15</v>
      </c>
      <c r="G74" s="1">
        <v>42105</v>
      </c>
      <c r="H74" s="1">
        <v>30808</v>
      </c>
      <c r="I74" t="s">
        <v>71</v>
      </c>
      <c r="J74">
        <v>15173</v>
      </c>
      <c r="K74" s="2">
        <v>0.85</v>
      </c>
      <c r="L74" s="2">
        <v>0.96</v>
      </c>
      <c r="M74">
        <v>41</v>
      </c>
      <c r="N74">
        <v>9</v>
      </c>
      <c r="O74" s="2">
        <v>0.90500000000000003</v>
      </c>
      <c r="P74" s="9">
        <v>-0.10999999999999999</v>
      </c>
    </row>
    <row r="75" spans="1:16" x14ac:dyDescent="0.25">
      <c r="A75">
        <v>23</v>
      </c>
      <c r="B75">
        <v>26448</v>
      </c>
      <c r="C75" t="s">
        <v>72</v>
      </c>
      <c r="D75" t="s">
        <v>70</v>
      </c>
      <c r="E75" t="s">
        <v>69</v>
      </c>
      <c r="F75" t="s">
        <v>15</v>
      </c>
      <c r="G75" s="1">
        <v>42469</v>
      </c>
      <c r="H75" s="1">
        <v>30487</v>
      </c>
      <c r="I75" t="s">
        <v>71</v>
      </c>
      <c r="J75">
        <v>18240</v>
      </c>
      <c r="K75" s="2">
        <v>0.89</v>
      </c>
      <c r="L75" s="2">
        <v>0.61</v>
      </c>
      <c r="M75">
        <v>42</v>
      </c>
      <c r="N75">
        <v>8</v>
      </c>
      <c r="O75" s="2">
        <v>0.75</v>
      </c>
      <c r="P75" s="9">
        <v>0.28000000000000003</v>
      </c>
    </row>
    <row r="76" spans="1:16" x14ac:dyDescent="0.25">
      <c r="A76">
        <v>31</v>
      </c>
      <c r="B76">
        <v>26437</v>
      </c>
      <c r="C76" t="s">
        <v>66</v>
      </c>
      <c r="D76" t="s">
        <v>70</v>
      </c>
      <c r="E76" t="s">
        <v>69</v>
      </c>
      <c r="F76" t="s">
        <v>15</v>
      </c>
      <c r="G76" s="1">
        <v>41923</v>
      </c>
      <c r="H76" s="1">
        <v>27988</v>
      </c>
      <c r="I76" t="s">
        <v>71</v>
      </c>
      <c r="J76">
        <v>3445</v>
      </c>
      <c r="K76" s="2">
        <v>0.78</v>
      </c>
      <c r="L76" s="2">
        <v>0.65</v>
      </c>
      <c r="M76">
        <v>48</v>
      </c>
      <c r="N76">
        <v>10</v>
      </c>
      <c r="O76" s="2">
        <v>0.71499999999999997</v>
      </c>
      <c r="P76" s="9">
        <v>0.13</v>
      </c>
    </row>
    <row r="77" spans="1:16" x14ac:dyDescent="0.25">
      <c r="A77">
        <v>32</v>
      </c>
      <c r="B77">
        <v>27960</v>
      </c>
      <c r="C77" t="s">
        <v>46</v>
      </c>
      <c r="D77" t="s">
        <v>70</v>
      </c>
      <c r="E77" t="s">
        <v>69</v>
      </c>
      <c r="F77" t="s">
        <v>24</v>
      </c>
      <c r="G77" s="1">
        <v>42417</v>
      </c>
      <c r="H77" s="1">
        <v>23641</v>
      </c>
      <c r="I77" t="s">
        <v>71</v>
      </c>
      <c r="J77">
        <v>13889</v>
      </c>
      <c r="K77" s="2">
        <v>0.85</v>
      </c>
      <c r="L77" s="2">
        <v>0.61</v>
      </c>
      <c r="M77">
        <v>61</v>
      </c>
      <c r="N77">
        <v>8</v>
      </c>
      <c r="O77" s="2">
        <v>0.73</v>
      </c>
      <c r="P77" s="9">
        <v>0.24</v>
      </c>
    </row>
    <row r="78" spans="1:16" x14ac:dyDescent="0.25">
      <c r="A78">
        <v>37</v>
      </c>
      <c r="B78">
        <v>27003</v>
      </c>
      <c r="C78" t="s">
        <v>56</v>
      </c>
      <c r="D78" t="s">
        <v>70</v>
      </c>
      <c r="E78" t="s">
        <v>69</v>
      </c>
      <c r="F78" t="s">
        <v>15</v>
      </c>
      <c r="G78" s="1">
        <v>43121</v>
      </c>
      <c r="H78" s="1">
        <v>29256</v>
      </c>
      <c r="I78" t="s">
        <v>71</v>
      </c>
      <c r="J78">
        <v>23467</v>
      </c>
      <c r="K78" s="2">
        <v>0.79</v>
      </c>
      <c r="L78" s="2">
        <v>0.95</v>
      </c>
      <c r="M78">
        <v>45</v>
      </c>
      <c r="N78">
        <v>6</v>
      </c>
      <c r="O78" s="2">
        <v>0.87</v>
      </c>
      <c r="P78" s="9">
        <v>-0.15999999999999992</v>
      </c>
    </row>
    <row r="79" spans="1:16" x14ac:dyDescent="0.25">
      <c r="A79">
        <v>38</v>
      </c>
      <c r="B79">
        <v>26440</v>
      </c>
      <c r="C79" t="s">
        <v>73</v>
      </c>
      <c r="D79" t="s">
        <v>70</v>
      </c>
      <c r="E79" t="s">
        <v>69</v>
      </c>
      <c r="F79" t="s">
        <v>24</v>
      </c>
      <c r="G79" s="1">
        <v>43121</v>
      </c>
      <c r="H79" s="1">
        <v>28364</v>
      </c>
      <c r="I79" t="s">
        <v>71</v>
      </c>
      <c r="J79">
        <v>2486</v>
      </c>
      <c r="K79" s="2">
        <v>0.83</v>
      </c>
      <c r="L79" s="2">
        <v>0.67</v>
      </c>
      <c r="M79">
        <v>47</v>
      </c>
      <c r="N79">
        <v>6</v>
      </c>
      <c r="O79" s="2">
        <v>0.75</v>
      </c>
      <c r="P79" s="9">
        <v>0.15999999999999992</v>
      </c>
    </row>
    <row r="80" spans="1:16" x14ac:dyDescent="0.25">
      <c r="A80">
        <v>39</v>
      </c>
      <c r="B80">
        <v>26433</v>
      </c>
      <c r="C80" t="s">
        <v>29</v>
      </c>
      <c r="D80" t="s">
        <v>70</v>
      </c>
      <c r="E80" t="s">
        <v>69</v>
      </c>
      <c r="F80" t="s">
        <v>24</v>
      </c>
      <c r="G80" s="1">
        <v>43121</v>
      </c>
      <c r="H80" s="1">
        <v>23497</v>
      </c>
      <c r="I80" t="s">
        <v>71</v>
      </c>
      <c r="J80">
        <v>9365</v>
      </c>
      <c r="K80" s="2">
        <v>0.84</v>
      </c>
      <c r="L80" s="2">
        <v>0.4</v>
      </c>
      <c r="M80">
        <v>61</v>
      </c>
      <c r="N80">
        <v>6</v>
      </c>
      <c r="O80" s="2">
        <v>0.62</v>
      </c>
      <c r="P80" s="9">
        <v>0.43999999999999995</v>
      </c>
    </row>
    <row r="81" spans="1:16" x14ac:dyDescent="0.25">
      <c r="A81">
        <v>40</v>
      </c>
      <c r="B81">
        <v>31457</v>
      </c>
      <c r="C81" t="s">
        <v>27</v>
      </c>
      <c r="D81" t="s">
        <v>70</v>
      </c>
      <c r="E81" t="s">
        <v>69</v>
      </c>
      <c r="F81" t="s">
        <v>15</v>
      </c>
      <c r="G81" s="1">
        <v>36312</v>
      </c>
      <c r="H81" s="1">
        <v>23532</v>
      </c>
      <c r="I81" t="s">
        <v>71</v>
      </c>
      <c r="J81">
        <v>22438</v>
      </c>
      <c r="K81" s="2">
        <v>0.82</v>
      </c>
      <c r="L81" s="2">
        <v>0.56999999999999995</v>
      </c>
      <c r="M81">
        <v>61</v>
      </c>
      <c r="N81">
        <v>25</v>
      </c>
      <c r="O81" s="2">
        <v>0.69499999999999995</v>
      </c>
      <c r="P81" s="9">
        <v>0.25</v>
      </c>
    </row>
    <row r="82" spans="1:16" x14ac:dyDescent="0.25">
      <c r="A82">
        <v>41</v>
      </c>
      <c r="B82">
        <v>27648</v>
      </c>
      <c r="C82" t="s">
        <v>12</v>
      </c>
      <c r="D82" t="s">
        <v>70</v>
      </c>
      <c r="E82" t="s">
        <v>69</v>
      </c>
      <c r="F82" t="s">
        <v>15</v>
      </c>
      <c r="G82" s="1">
        <v>38115</v>
      </c>
      <c r="H82" s="1">
        <v>32743</v>
      </c>
      <c r="I82" t="s">
        <v>71</v>
      </c>
      <c r="J82">
        <v>20869</v>
      </c>
      <c r="K82" s="2">
        <v>0.77</v>
      </c>
      <c r="L82" s="2">
        <v>0.41</v>
      </c>
      <c r="M82">
        <v>35</v>
      </c>
      <c r="N82">
        <v>20</v>
      </c>
      <c r="O82" s="2">
        <v>0.59</v>
      </c>
      <c r="P82" s="9">
        <v>0.36000000000000004</v>
      </c>
    </row>
    <row r="83" spans="1:16" x14ac:dyDescent="0.25">
      <c r="A83">
        <v>42</v>
      </c>
      <c r="B83">
        <v>27858</v>
      </c>
      <c r="C83" t="s">
        <v>67</v>
      </c>
      <c r="D83" t="s">
        <v>70</v>
      </c>
      <c r="E83" t="s">
        <v>69</v>
      </c>
      <c r="F83" t="s">
        <v>24</v>
      </c>
      <c r="G83" s="1">
        <v>40850</v>
      </c>
      <c r="H83" s="1">
        <v>28621</v>
      </c>
      <c r="I83" t="s">
        <v>71</v>
      </c>
      <c r="J83">
        <v>1428</v>
      </c>
      <c r="K83" s="2">
        <v>0.87</v>
      </c>
      <c r="L83" s="2">
        <v>0.96</v>
      </c>
      <c r="M83">
        <v>47</v>
      </c>
      <c r="N83">
        <v>13</v>
      </c>
      <c r="O83" s="2">
        <v>0.91500000000000004</v>
      </c>
      <c r="P83" s="9">
        <v>-8.9999999999999969E-2</v>
      </c>
    </row>
    <row r="84" spans="1:16" x14ac:dyDescent="0.25">
      <c r="A84">
        <v>43</v>
      </c>
      <c r="B84">
        <v>26444</v>
      </c>
      <c r="C84" t="s">
        <v>32</v>
      </c>
      <c r="D84" t="s">
        <v>70</v>
      </c>
      <c r="E84" t="s">
        <v>69</v>
      </c>
      <c r="F84" t="s">
        <v>15</v>
      </c>
      <c r="G84" s="1">
        <v>35868</v>
      </c>
      <c r="H84" s="1">
        <v>28782</v>
      </c>
      <c r="I84" t="s">
        <v>71</v>
      </c>
      <c r="J84">
        <v>16767</v>
      </c>
      <c r="K84" s="2">
        <v>0.84</v>
      </c>
      <c r="L84" s="2">
        <v>0.69</v>
      </c>
      <c r="M84">
        <v>46</v>
      </c>
      <c r="N84">
        <v>27</v>
      </c>
      <c r="O84" s="2">
        <v>0.76500000000000001</v>
      </c>
      <c r="P84" s="9">
        <v>0.15000000000000002</v>
      </c>
    </row>
    <row r="85" spans="1:16" x14ac:dyDescent="0.25">
      <c r="A85">
        <v>51</v>
      </c>
      <c r="B85">
        <v>28126</v>
      </c>
      <c r="C85" t="s">
        <v>49</v>
      </c>
      <c r="D85" t="s">
        <v>70</v>
      </c>
      <c r="E85" t="s">
        <v>69</v>
      </c>
      <c r="F85" t="s">
        <v>15</v>
      </c>
      <c r="G85" s="1">
        <v>38930</v>
      </c>
      <c r="H85" s="1">
        <v>28166</v>
      </c>
      <c r="I85" t="s">
        <v>71</v>
      </c>
      <c r="J85">
        <v>12122</v>
      </c>
      <c r="K85" s="2">
        <v>0.76</v>
      </c>
      <c r="L85" s="2">
        <v>0.67</v>
      </c>
      <c r="M85">
        <v>48</v>
      </c>
      <c r="N85">
        <v>18</v>
      </c>
      <c r="O85" s="2">
        <v>0.71499999999999997</v>
      </c>
      <c r="P85" s="9">
        <v>8.9999999999999969E-2</v>
      </c>
    </row>
    <row r="86" spans="1:16" x14ac:dyDescent="0.25">
      <c r="A86">
        <v>52</v>
      </c>
      <c r="B86">
        <v>26413</v>
      </c>
      <c r="C86" t="s">
        <v>28</v>
      </c>
      <c r="D86" t="s">
        <v>70</v>
      </c>
      <c r="E86" t="s">
        <v>69</v>
      </c>
      <c r="F86" t="s">
        <v>24</v>
      </c>
      <c r="G86" s="1">
        <v>39144</v>
      </c>
      <c r="H86" s="1">
        <v>25356</v>
      </c>
      <c r="I86" t="s">
        <v>71</v>
      </c>
      <c r="J86">
        <v>24004</v>
      </c>
      <c r="K86" s="2">
        <v>0.81</v>
      </c>
      <c r="L86" s="2">
        <v>0.77</v>
      </c>
      <c r="M86">
        <v>56</v>
      </c>
      <c r="N86">
        <v>17</v>
      </c>
      <c r="O86" s="2">
        <v>0.79</v>
      </c>
      <c r="P86" s="9">
        <v>4.0000000000000036E-2</v>
      </c>
    </row>
    <row r="87" spans="1:16" x14ac:dyDescent="0.25">
      <c r="A87">
        <v>59</v>
      </c>
      <c r="B87">
        <v>26347</v>
      </c>
      <c r="C87" t="s">
        <v>72</v>
      </c>
      <c r="D87" t="s">
        <v>70</v>
      </c>
      <c r="E87" t="s">
        <v>69</v>
      </c>
      <c r="F87" t="s">
        <v>24</v>
      </c>
      <c r="G87" s="1">
        <v>42576</v>
      </c>
      <c r="H87" s="1">
        <v>32599</v>
      </c>
      <c r="I87" t="s">
        <v>71</v>
      </c>
      <c r="J87">
        <v>7329</v>
      </c>
      <c r="K87" s="2">
        <v>0.86</v>
      </c>
      <c r="L87" s="2">
        <v>0.61</v>
      </c>
      <c r="M87">
        <v>36</v>
      </c>
      <c r="N87">
        <v>8</v>
      </c>
      <c r="O87" s="2">
        <v>0.73499999999999999</v>
      </c>
      <c r="P87" s="9">
        <v>0.25</v>
      </c>
    </row>
    <row r="88" spans="1:16" x14ac:dyDescent="0.25">
      <c r="A88">
        <v>60</v>
      </c>
      <c r="B88">
        <v>26430</v>
      </c>
      <c r="C88" t="s">
        <v>63</v>
      </c>
      <c r="D88" t="s">
        <v>70</v>
      </c>
      <c r="E88" t="s">
        <v>69</v>
      </c>
      <c r="F88" t="s">
        <v>24</v>
      </c>
      <c r="G88" s="1">
        <v>41951</v>
      </c>
      <c r="H88" s="1">
        <v>25803</v>
      </c>
      <c r="I88" t="s">
        <v>71</v>
      </c>
      <c r="J88">
        <v>20603</v>
      </c>
      <c r="K88" s="2">
        <v>0.88</v>
      </c>
      <c r="L88" s="2">
        <v>0.76</v>
      </c>
      <c r="M88">
        <v>55</v>
      </c>
      <c r="N88">
        <v>10</v>
      </c>
      <c r="O88" s="2">
        <v>0.82</v>
      </c>
      <c r="P88" s="9">
        <v>0.12</v>
      </c>
    </row>
    <row r="89" spans="1:16" x14ac:dyDescent="0.25">
      <c r="A89">
        <v>72</v>
      </c>
      <c r="B89">
        <v>26991</v>
      </c>
      <c r="C89" t="s">
        <v>73</v>
      </c>
      <c r="D89" t="s">
        <v>70</v>
      </c>
      <c r="E89" t="s">
        <v>69</v>
      </c>
      <c r="F89" t="s">
        <v>15</v>
      </c>
      <c r="G89" s="1">
        <v>40952</v>
      </c>
      <c r="H89" s="1">
        <v>29256</v>
      </c>
      <c r="I89" t="s">
        <v>71</v>
      </c>
      <c r="J89">
        <v>18091</v>
      </c>
      <c r="K89" s="2">
        <v>0.84</v>
      </c>
      <c r="L89" s="2">
        <v>0.91</v>
      </c>
      <c r="M89">
        <v>45</v>
      </c>
      <c r="N89">
        <v>12</v>
      </c>
      <c r="O89" s="2">
        <v>0.875</v>
      </c>
      <c r="P89" s="9">
        <v>-7.0000000000000062E-2</v>
      </c>
    </row>
    <row r="90" spans="1:16" x14ac:dyDescent="0.25">
      <c r="A90">
        <v>73</v>
      </c>
      <c r="B90">
        <v>27618</v>
      </c>
      <c r="C90" t="s">
        <v>29</v>
      </c>
      <c r="D90" t="s">
        <v>70</v>
      </c>
      <c r="E90" t="s">
        <v>69</v>
      </c>
      <c r="F90" t="s">
        <v>15</v>
      </c>
      <c r="G90" s="1">
        <v>42036</v>
      </c>
      <c r="H90" s="1">
        <v>26362</v>
      </c>
      <c r="I90" t="s">
        <v>71</v>
      </c>
      <c r="J90">
        <v>21390</v>
      </c>
      <c r="K90" s="2">
        <v>0.76</v>
      </c>
      <c r="L90" s="2">
        <v>0.89</v>
      </c>
      <c r="M90">
        <v>53</v>
      </c>
      <c r="N90">
        <v>9</v>
      </c>
      <c r="O90" s="2">
        <v>0.82499999999999996</v>
      </c>
      <c r="P90" s="9">
        <v>-0.13</v>
      </c>
    </row>
    <row r="91" spans="1:16" x14ac:dyDescent="0.25">
      <c r="A91">
        <v>78</v>
      </c>
      <c r="B91">
        <v>28166</v>
      </c>
      <c r="C91" t="s">
        <v>36</v>
      </c>
      <c r="D91" t="s">
        <v>70</v>
      </c>
      <c r="E91" t="s">
        <v>69</v>
      </c>
      <c r="F91" t="s">
        <v>24</v>
      </c>
      <c r="G91" s="1">
        <v>42476</v>
      </c>
      <c r="H91" s="1">
        <v>30536</v>
      </c>
      <c r="I91" t="s">
        <v>71</v>
      </c>
      <c r="J91">
        <v>13943</v>
      </c>
      <c r="K91" s="2">
        <v>0.78</v>
      </c>
      <c r="L91" s="2">
        <v>0.78</v>
      </c>
      <c r="M91">
        <v>41</v>
      </c>
      <c r="N91">
        <v>8</v>
      </c>
      <c r="O91" s="2">
        <v>0.78</v>
      </c>
      <c r="P91" s="9">
        <v>0</v>
      </c>
    </row>
    <row r="92" spans="1:16" x14ac:dyDescent="0.25">
      <c r="A92">
        <v>79</v>
      </c>
      <c r="B92">
        <v>27004</v>
      </c>
      <c r="C92" t="s">
        <v>52</v>
      </c>
      <c r="D92" t="s">
        <v>70</v>
      </c>
      <c r="E92" t="s">
        <v>69</v>
      </c>
      <c r="F92" t="s">
        <v>24</v>
      </c>
      <c r="G92" s="1">
        <v>35217</v>
      </c>
      <c r="H92" s="1">
        <v>28157</v>
      </c>
      <c r="I92" t="s">
        <v>71</v>
      </c>
      <c r="J92">
        <v>9011</v>
      </c>
      <c r="K92" s="2">
        <v>0.79</v>
      </c>
      <c r="L92" s="2">
        <v>0.46</v>
      </c>
      <c r="M92">
        <v>48</v>
      </c>
      <c r="N92">
        <v>28</v>
      </c>
      <c r="O92" s="2">
        <v>0.625</v>
      </c>
      <c r="P92" s="9">
        <v>0.33</v>
      </c>
    </row>
    <row r="93" spans="1:16" x14ac:dyDescent="0.25">
      <c r="A93">
        <v>80</v>
      </c>
      <c r="B93">
        <v>27649</v>
      </c>
      <c r="C93" t="s">
        <v>40</v>
      </c>
      <c r="D93" t="s">
        <v>70</v>
      </c>
      <c r="E93" t="s">
        <v>69</v>
      </c>
      <c r="F93" t="s">
        <v>24</v>
      </c>
      <c r="G93" s="1">
        <v>35389</v>
      </c>
      <c r="H93" s="1">
        <v>28970</v>
      </c>
      <c r="I93" t="s">
        <v>71</v>
      </c>
      <c r="J93">
        <v>5390</v>
      </c>
      <c r="K93" s="2">
        <v>0.81</v>
      </c>
      <c r="L93" s="2">
        <v>0.4</v>
      </c>
      <c r="M93">
        <v>46</v>
      </c>
      <c r="N93">
        <v>28</v>
      </c>
      <c r="O93" s="2">
        <v>0.60499999999999998</v>
      </c>
      <c r="P93" s="9">
        <v>0.41000000000000003</v>
      </c>
    </row>
    <row r="94" spans="1:16" x14ac:dyDescent="0.25">
      <c r="A94">
        <v>81</v>
      </c>
      <c r="B94">
        <v>26998</v>
      </c>
      <c r="C94" t="s">
        <v>41</v>
      </c>
      <c r="D94" t="s">
        <v>70</v>
      </c>
      <c r="E94" t="s">
        <v>69</v>
      </c>
      <c r="F94" t="s">
        <v>24</v>
      </c>
      <c r="G94" s="1">
        <v>35966</v>
      </c>
      <c r="H94" s="1">
        <v>27774</v>
      </c>
      <c r="I94" t="s">
        <v>71</v>
      </c>
      <c r="J94">
        <v>19015</v>
      </c>
      <c r="K94" s="2">
        <v>0.84</v>
      </c>
      <c r="L94" s="2">
        <v>0.65</v>
      </c>
      <c r="M94">
        <v>49</v>
      </c>
      <c r="N94">
        <v>26</v>
      </c>
      <c r="O94" s="2">
        <v>0.745</v>
      </c>
      <c r="P94" s="9">
        <v>0.18999999999999995</v>
      </c>
    </row>
    <row r="95" spans="1:16" x14ac:dyDescent="0.25">
      <c r="A95">
        <v>82</v>
      </c>
      <c r="B95">
        <v>31455</v>
      </c>
      <c r="C95" t="s">
        <v>17</v>
      </c>
      <c r="D95" t="s">
        <v>70</v>
      </c>
      <c r="E95" t="s">
        <v>69</v>
      </c>
      <c r="F95" t="s">
        <v>21</v>
      </c>
      <c r="G95" s="1">
        <v>36904</v>
      </c>
      <c r="H95" s="1">
        <v>29124</v>
      </c>
      <c r="I95" t="s">
        <v>71</v>
      </c>
      <c r="J95">
        <v>8138</v>
      </c>
      <c r="K95" s="2">
        <v>0.82</v>
      </c>
      <c r="L95" s="2">
        <v>0.83</v>
      </c>
      <c r="M95">
        <v>45</v>
      </c>
      <c r="N95">
        <v>24</v>
      </c>
      <c r="O95" s="2">
        <v>0.82499999999999996</v>
      </c>
      <c r="P95" s="9">
        <v>-1.0000000000000009E-2</v>
      </c>
    </row>
    <row r="96" spans="1:16" x14ac:dyDescent="0.25">
      <c r="A96">
        <v>89</v>
      </c>
      <c r="B96">
        <v>26425</v>
      </c>
      <c r="C96" t="s">
        <v>43</v>
      </c>
      <c r="D96" t="s">
        <v>70</v>
      </c>
      <c r="E96" t="s">
        <v>69</v>
      </c>
      <c r="F96" t="s">
        <v>21</v>
      </c>
      <c r="G96" s="1">
        <v>41191</v>
      </c>
      <c r="H96" s="1">
        <v>26439</v>
      </c>
      <c r="I96" t="s">
        <v>71</v>
      </c>
      <c r="J96">
        <v>5061</v>
      </c>
      <c r="K96" s="2">
        <v>0.75</v>
      </c>
      <c r="L96" s="2">
        <v>0.67</v>
      </c>
      <c r="M96">
        <v>53</v>
      </c>
      <c r="N96">
        <v>12</v>
      </c>
      <c r="O96" s="2">
        <v>0.71</v>
      </c>
      <c r="P96" s="9">
        <v>7.999999999999996E-2</v>
      </c>
    </row>
    <row r="97" spans="1:16" x14ac:dyDescent="0.25">
      <c r="A97">
        <v>90</v>
      </c>
      <c r="B97">
        <v>26421</v>
      </c>
      <c r="C97" t="s">
        <v>44</v>
      </c>
      <c r="D97" t="s">
        <v>70</v>
      </c>
      <c r="E97" t="s">
        <v>69</v>
      </c>
      <c r="F97" t="s">
        <v>15</v>
      </c>
      <c r="G97" s="1">
        <v>41378</v>
      </c>
      <c r="H97" s="1">
        <v>26992</v>
      </c>
      <c r="I97" t="s">
        <v>71</v>
      </c>
      <c r="J97">
        <v>8005</v>
      </c>
      <c r="K97" s="2">
        <v>0.85</v>
      </c>
      <c r="L97" s="2">
        <v>0.75</v>
      </c>
      <c r="M97">
        <v>51</v>
      </c>
      <c r="N97">
        <v>11</v>
      </c>
      <c r="O97" s="2">
        <v>0.8</v>
      </c>
      <c r="P97" s="9">
        <v>9.9999999999999978E-2</v>
      </c>
    </row>
    <row r="98" spans="1:16" x14ac:dyDescent="0.25">
      <c r="A98">
        <v>91</v>
      </c>
      <c r="B98">
        <v>26419</v>
      </c>
      <c r="C98" t="s">
        <v>45</v>
      </c>
      <c r="D98" t="s">
        <v>70</v>
      </c>
      <c r="E98" t="s">
        <v>69</v>
      </c>
      <c r="F98" t="s">
        <v>24</v>
      </c>
      <c r="G98" s="1">
        <v>41594</v>
      </c>
      <c r="H98" s="1">
        <v>25655</v>
      </c>
      <c r="I98" t="s">
        <v>71</v>
      </c>
      <c r="J98">
        <v>7002</v>
      </c>
      <c r="K98" s="2">
        <v>0.87</v>
      </c>
      <c r="L98" s="2">
        <v>0.6</v>
      </c>
      <c r="M98">
        <v>55</v>
      </c>
      <c r="N98">
        <v>11</v>
      </c>
      <c r="O98" s="2">
        <v>0.73499999999999999</v>
      </c>
      <c r="P98" s="9">
        <v>0.27</v>
      </c>
    </row>
    <row r="99" spans="1:16" x14ac:dyDescent="0.25">
      <c r="A99">
        <v>92</v>
      </c>
      <c r="B99">
        <v>28927</v>
      </c>
      <c r="C99" t="s">
        <v>55</v>
      </c>
      <c r="D99" t="s">
        <v>70</v>
      </c>
      <c r="E99" t="s">
        <v>69</v>
      </c>
      <c r="F99" t="s">
        <v>15</v>
      </c>
      <c r="G99" s="1">
        <v>41730</v>
      </c>
      <c r="H99" s="1">
        <v>25254</v>
      </c>
      <c r="I99" t="s">
        <v>71</v>
      </c>
      <c r="J99">
        <v>23284</v>
      </c>
      <c r="K99" s="2">
        <v>0.75</v>
      </c>
      <c r="L99" s="2">
        <v>0.84</v>
      </c>
      <c r="M99">
        <v>56</v>
      </c>
      <c r="N99">
        <v>10</v>
      </c>
      <c r="O99" s="2">
        <v>0.79500000000000004</v>
      </c>
      <c r="P99" s="9">
        <v>-8.9999999999999969E-2</v>
      </c>
    </row>
    <row r="100" spans="1:16" x14ac:dyDescent="0.25">
      <c r="A100">
        <v>93</v>
      </c>
      <c r="B100">
        <v>26748</v>
      </c>
      <c r="C100" t="s">
        <v>72</v>
      </c>
      <c r="D100" t="s">
        <v>70</v>
      </c>
      <c r="E100" t="s">
        <v>69</v>
      </c>
      <c r="F100" t="s">
        <v>15</v>
      </c>
      <c r="G100" s="1">
        <v>41771</v>
      </c>
      <c r="H100" s="1">
        <v>29985</v>
      </c>
      <c r="I100" t="s">
        <v>71</v>
      </c>
      <c r="J100">
        <v>20019</v>
      </c>
      <c r="K100" s="2">
        <v>0.89</v>
      </c>
      <c r="L100" s="2">
        <v>0.78</v>
      </c>
      <c r="M100">
        <v>43</v>
      </c>
      <c r="N100">
        <v>10</v>
      </c>
      <c r="O100" s="2">
        <v>0.83499999999999996</v>
      </c>
      <c r="P100" s="9">
        <v>0.10999999999999999</v>
      </c>
    </row>
    <row r="101" spans="1:16" x14ac:dyDescent="0.25">
      <c r="A101">
        <v>94</v>
      </c>
      <c r="B101">
        <v>27494</v>
      </c>
      <c r="C101" t="s">
        <v>63</v>
      </c>
      <c r="D101" t="s">
        <v>70</v>
      </c>
      <c r="E101" t="s">
        <v>69</v>
      </c>
      <c r="F101" t="s">
        <v>24</v>
      </c>
      <c r="G101" s="1">
        <v>41771</v>
      </c>
      <c r="H101" s="1">
        <v>28792</v>
      </c>
      <c r="I101" t="s">
        <v>71</v>
      </c>
      <c r="J101">
        <v>11645</v>
      </c>
      <c r="K101" s="2">
        <v>0.8</v>
      </c>
      <c r="L101" s="2">
        <v>0.62</v>
      </c>
      <c r="M101">
        <v>46</v>
      </c>
      <c r="N101">
        <v>10</v>
      </c>
      <c r="O101" s="2">
        <v>0.71</v>
      </c>
      <c r="P101" s="9">
        <v>0.18000000000000005</v>
      </c>
    </row>
    <row r="102" spans="1:16" x14ac:dyDescent="0.25">
      <c r="A102">
        <v>4</v>
      </c>
      <c r="B102">
        <v>29769</v>
      </c>
      <c r="C102" t="s">
        <v>12</v>
      </c>
      <c r="D102" t="s">
        <v>13</v>
      </c>
      <c r="E102" t="s">
        <v>14</v>
      </c>
      <c r="F102" t="s">
        <v>15</v>
      </c>
      <c r="G102" s="1">
        <v>41499</v>
      </c>
      <c r="H102" s="1">
        <v>26494</v>
      </c>
      <c r="I102" t="s">
        <v>16</v>
      </c>
      <c r="J102">
        <v>26520</v>
      </c>
      <c r="K102" s="2">
        <v>0.81</v>
      </c>
      <c r="L102" s="2">
        <v>0.66</v>
      </c>
      <c r="M102">
        <v>53</v>
      </c>
      <c r="N102">
        <v>11</v>
      </c>
      <c r="O102" s="2">
        <v>0.73499999999999999</v>
      </c>
      <c r="P102" s="9">
        <v>0.15000000000000002</v>
      </c>
    </row>
    <row r="103" spans="1:16" x14ac:dyDescent="0.25">
      <c r="A103">
        <v>12</v>
      </c>
      <c r="B103">
        <v>26401</v>
      </c>
      <c r="C103" t="s">
        <v>17</v>
      </c>
      <c r="D103" t="s">
        <v>18</v>
      </c>
      <c r="E103" t="s">
        <v>14</v>
      </c>
      <c r="F103" t="s">
        <v>15</v>
      </c>
      <c r="G103" s="1">
        <v>42477</v>
      </c>
      <c r="H103" s="1">
        <v>25717</v>
      </c>
      <c r="I103" t="s">
        <v>19</v>
      </c>
      <c r="J103">
        <v>16455</v>
      </c>
      <c r="K103" s="2">
        <v>0.75</v>
      </c>
      <c r="L103" s="2">
        <v>0.92</v>
      </c>
      <c r="M103">
        <v>55</v>
      </c>
      <c r="N103">
        <v>8</v>
      </c>
      <c r="O103" s="2">
        <v>0.83499999999999996</v>
      </c>
      <c r="P103" s="9">
        <v>-0.17000000000000004</v>
      </c>
    </row>
    <row r="104" spans="1:16" x14ac:dyDescent="0.25">
      <c r="A104">
        <v>13</v>
      </c>
      <c r="B104">
        <v>26435</v>
      </c>
      <c r="C104" t="s">
        <v>20</v>
      </c>
      <c r="D104" t="s">
        <v>18</v>
      </c>
      <c r="E104" t="s">
        <v>14</v>
      </c>
      <c r="F104" t="s">
        <v>21</v>
      </c>
      <c r="G104" s="1">
        <v>37131</v>
      </c>
      <c r="H104" s="1">
        <v>22910</v>
      </c>
      <c r="I104" t="s">
        <v>19</v>
      </c>
      <c r="J104">
        <v>4981</v>
      </c>
      <c r="K104" s="2">
        <v>0.77</v>
      </c>
      <c r="L104" s="2">
        <v>0.86</v>
      </c>
      <c r="M104">
        <v>63</v>
      </c>
      <c r="N104">
        <v>23</v>
      </c>
      <c r="O104" s="2">
        <v>0.81499999999999995</v>
      </c>
      <c r="P104" s="9">
        <v>-8.9999999999999969E-2</v>
      </c>
    </row>
    <row r="105" spans="1:16" x14ac:dyDescent="0.25">
      <c r="A105">
        <v>33</v>
      </c>
      <c r="B105">
        <v>26410</v>
      </c>
      <c r="C105" t="s">
        <v>22</v>
      </c>
      <c r="D105" t="s">
        <v>18</v>
      </c>
      <c r="E105" t="s">
        <v>14</v>
      </c>
      <c r="F105" t="s">
        <v>21</v>
      </c>
      <c r="G105" s="1">
        <v>42417</v>
      </c>
      <c r="H105" s="1">
        <v>27626</v>
      </c>
      <c r="I105" t="s">
        <v>19</v>
      </c>
      <c r="J105">
        <v>3165</v>
      </c>
      <c r="K105" s="2">
        <v>0.84</v>
      </c>
      <c r="L105" s="2">
        <v>0.78</v>
      </c>
      <c r="M105">
        <v>49</v>
      </c>
      <c r="N105">
        <v>8</v>
      </c>
      <c r="O105" s="2">
        <v>0.81</v>
      </c>
      <c r="P105" s="9">
        <v>5.9999999999999942E-2</v>
      </c>
    </row>
    <row r="106" spans="1:16" x14ac:dyDescent="0.25">
      <c r="A106">
        <v>34</v>
      </c>
      <c r="B106">
        <v>27385</v>
      </c>
      <c r="C106" t="s">
        <v>23</v>
      </c>
      <c r="D106" t="s">
        <v>18</v>
      </c>
      <c r="E106" t="s">
        <v>14</v>
      </c>
      <c r="F106" t="s">
        <v>24</v>
      </c>
      <c r="G106" s="1">
        <v>42462</v>
      </c>
      <c r="H106" s="1">
        <v>24785</v>
      </c>
      <c r="I106" t="s">
        <v>19</v>
      </c>
      <c r="J106">
        <v>20883</v>
      </c>
      <c r="K106" s="2">
        <v>0.85</v>
      </c>
      <c r="L106" s="2">
        <v>0.76</v>
      </c>
      <c r="M106">
        <v>57</v>
      </c>
      <c r="N106">
        <v>8</v>
      </c>
      <c r="O106" s="2">
        <v>0.80500000000000005</v>
      </c>
      <c r="P106" s="9">
        <v>8.9999999999999969E-2</v>
      </c>
    </row>
    <row r="107" spans="1:16" x14ac:dyDescent="0.25">
      <c r="A107">
        <v>61</v>
      </c>
      <c r="B107">
        <v>26389</v>
      </c>
      <c r="C107" t="s">
        <v>25</v>
      </c>
      <c r="D107" t="s">
        <v>18</v>
      </c>
      <c r="E107" t="s">
        <v>14</v>
      </c>
      <c r="F107" t="s">
        <v>15</v>
      </c>
      <c r="G107" s="1">
        <v>43071</v>
      </c>
      <c r="H107" s="1">
        <v>21695</v>
      </c>
      <c r="I107" t="s">
        <v>19</v>
      </c>
      <c r="J107">
        <v>13380</v>
      </c>
      <c r="K107" s="2">
        <v>0.8</v>
      </c>
      <c r="L107" s="2">
        <v>0.72</v>
      </c>
      <c r="M107">
        <v>66</v>
      </c>
      <c r="N107">
        <v>7</v>
      </c>
      <c r="O107" s="2">
        <v>0.76</v>
      </c>
      <c r="P107" s="9">
        <v>8.0000000000000071E-2</v>
      </c>
    </row>
    <row r="108" spans="1:16" x14ac:dyDescent="0.25">
      <c r="A108">
        <v>62</v>
      </c>
      <c r="B108">
        <v>30459</v>
      </c>
      <c r="C108" t="s">
        <v>26</v>
      </c>
      <c r="D108" t="s">
        <v>18</v>
      </c>
      <c r="E108" t="s">
        <v>14</v>
      </c>
      <c r="F108" t="s">
        <v>21</v>
      </c>
      <c r="G108" s="1">
        <v>43444</v>
      </c>
      <c r="H108" s="1">
        <v>25438</v>
      </c>
      <c r="I108" t="s">
        <v>19</v>
      </c>
      <c r="J108">
        <v>18856</v>
      </c>
      <c r="K108" s="2">
        <v>0.81</v>
      </c>
      <c r="L108" s="2">
        <v>0.48</v>
      </c>
      <c r="M108">
        <v>56</v>
      </c>
      <c r="N108">
        <v>6</v>
      </c>
      <c r="O108" s="2">
        <v>0.64500000000000002</v>
      </c>
      <c r="P108" s="9">
        <v>0.33000000000000007</v>
      </c>
    </row>
    <row r="109" spans="1:16" x14ac:dyDescent="0.25">
      <c r="A109">
        <v>74</v>
      </c>
      <c r="B109">
        <v>27780</v>
      </c>
      <c r="C109" t="s">
        <v>27</v>
      </c>
      <c r="D109" t="s">
        <v>18</v>
      </c>
      <c r="E109" t="s">
        <v>14</v>
      </c>
      <c r="F109" t="s">
        <v>21</v>
      </c>
      <c r="G109" s="1">
        <v>42403</v>
      </c>
      <c r="H109" s="1">
        <v>30445</v>
      </c>
      <c r="I109" t="s">
        <v>19</v>
      </c>
      <c r="J109">
        <v>13891</v>
      </c>
      <c r="K109" s="2">
        <v>0.86</v>
      </c>
      <c r="L109" s="2">
        <v>0.97</v>
      </c>
      <c r="M109">
        <v>42</v>
      </c>
      <c r="N109">
        <v>8</v>
      </c>
      <c r="O109" s="2">
        <v>0.91500000000000004</v>
      </c>
      <c r="P109" s="9">
        <v>-0.10999999999999999</v>
      </c>
    </row>
    <row r="110" spans="1:16" x14ac:dyDescent="0.25">
      <c r="A110">
        <v>75</v>
      </c>
      <c r="B110">
        <v>25907</v>
      </c>
      <c r="C110" t="s">
        <v>12</v>
      </c>
      <c r="D110" t="s">
        <v>18</v>
      </c>
      <c r="E110" t="s">
        <v>14</v>
      </c>
      <c r="F110" t="s">
        <v>24</v>
      </c>
      <c r="G110" s="1">
        <v>42417</v>
      </c>
      <c r="H110" s="1">
        <v>28157</v>
      </c>
      <c r="I110" t="s">
        <v>19</v>
      </c>
      <c r="J110">
        <v>19451</v>
      </c>
      <c r="K110" s="2">
        <v>0.77</v>
      </c>
      <c r="L110" s="2">
        <v>0.63</v>
      </c>
      <c r="M110">
        <v>48</v>
      </c>
      <c r="N110">
        <v>8</v>
      </c>
      <c r="O110" s="2">
        <v>0.7</v>
      </c>
      <c r="P110" s="9">
        <v>0.14000000000000001</v>
      </c>
    </row>
    <row r="111" spans="1:16" x14ac:dyDescent="0.25">
      <c r="A111">
        <v>86</v>
      </c>
      <c r="B111">
        <v>27144</v>
      </c>
      <c r="C111" t="s">
        <v>28</v>
      </c>
      <c r="D111" t="s">
        <v>18</v>
      </c>
      <c r="E111" t="s">
        <v>14</v>
      </c>
      <c r="F111" t="s">
        <v>15</v>
      </c>
      <c r="G111" s="1">
        <v>39102</v>
      </c>
      <c r="H111" s="1">
        <v>24807</v>
      </c>
      <c r="I111" t="s">
        <v>19</v>
      </c>
      <c r="J111">
        <v>2185</v>
      </c>
      <c r="K111" s="2">
        <v>0.79</v>
      </c>
      <c r="L111" s="2">
        <v>0.65</v>
      </c>
      <c r="M111">
        <v>57</v>
      </c>
      <c r="N111">
        <v>18</v>
      </c>
      <c r="O111" s="2">
        <v>0.72</v>
      </c>
      <c r="P111" s="9">
        <v>0.14000000000000001</v>
      </c>
    </row>
    <row r="112" spans="1:16" x14ac:dyDescent="0.25">
      <c r="A112">
        <v>1</v>
      </c>
      <c r="B112">
        <v>26434</v>
      </c>
      <c r="C112" t="s">
        <v>29</v>
      </c>
      <c r="D112" t="s">
        <v>30</v>
      </c>
      <c r="E112" t="s">
        <v>31</v>
      </c>
      <c r="F112" t="s">
        <v>24</v>
      </c>
      <c r="G112" s="1">
        <v>39036</v>
      </c>
      <c r="H112" s="1">
        <v>29537</v>
      </c>
      <c r="I112" t="s">
        <v>19</v>
      </c>
      <c r="J112">
        <v>20500</v>
      </c>
      <c r="K112" s="2">
        <v>0.82</v>
      </c>
      <c r="L112" s="2">
        <v>0.86</v>
      </c>
      <c r="M112">
        <v>44</v>
      </c>
      <c r="N112">
        <v>18</v>
      </c>
      <c r="O112" s="2">
        <v>0.84</v>
      </c>
      <c r="P112" s="9">
        <v>-4.0000000000000036E-2</v>
      </c>
    </row>
    <row r="113" spans="1:16" x14ac:dyDescent="0.25">
      <c r="A113">
        <v>6</v>
      </c>
      <c r="B113">
        <v>27154</v>
      </c>
      <c r="C113" t="s">
        <v>32</v>
      </c>
      <c r="D113" t="s">
        <v>33</v>
      </c>
      <c r="E113" t="s">
        <v>31</v>
      </c>
      <c r="F113" t="s">
        <v>24</v>
      </c>
      <c r="G113" s="1">
        <v>37121</v>
      </c>
      <c r="H113" s="1">
        <v>24296</v>
      </c>
      <c r="I113" t="s">
        <v>19</v>
      </c>
      <c r="J113">
        <v>17233</v>
      </c>
      <c r="K113" s="2">
        <v>0.89</v>
      </c>
      <c r="L113" s="2">
        <v>0.41</v>
      </c>
      <c r="M113">
        <v>59</v>
      </c>
      <c r="N113">
        <v>23</v>
      </c>
      <c r="O113" s="2">
        <v>0.65</v>
      </c>
      <c r="P113" s="9">
        <v>0.48000000000000004</v>
      </c>
    </row>
    <row r="114" spans="1:16" x14ac:dyDescent="0.25">
      <c r="A114">
        <v>7</v>
      </c>
      <c r="B114">
        <v>27008</v>
      </c>
      <c r="C114" t="s">
        <v>34</v>
      </c>
      <c r="D114" t="s">
        <v>35</v>
      </c>
      <c r="E114" t="s">
        <v>31</v>
      </c>
      <c r="F114" t="s">
        <v>21</v>
      </c>
      <c r="G114" s="1">
        <v>37758</v>
      </c>
      <c r="H114" s="1">
        <v>30195</v>
      </c>
      <c r="I114" t="s">
        <v>19</v>
      </c>
      <c r="J114">
        <v>19987</v>
      </c>
      <c r="K114" s="2">
        <v>0.76</v>
      </c>
      <c r="L114" s="2">
        <v>0.55000000000000004</v>
      </c>
      <c r="M114">
        <v>42</v>
      </c>
      <c r="N114">
        <v>21</v>
      </c>
      <c r="O114" s="2">
        <v>0.65500000000000003</v>
      </c>
      <c r="P114" s="9">
        <v>0.20999999999999996</v>
      </c>
    </row>
    <row r="115" spans="1:16" x14ac:dyDescent="0.25">
      <c r="A115">
        <v>8</v>
      </c>
      <c r="B115">
        <v>27621</v>
      </c>
      <c r="C115" t="s">
        <v>36</v>
      </c>
      <c r="D115" t="s">
        <v>37</v>
      </c>
      <c r="E115" t="s">
        <v>31</v>
      </c>
      <c r="F115" t="s">
        <v>15</v>
      </c>
      <c r="G115" s="1">
        <v>39600</v>
      </c>
      <c r="H115" s="1">
        <v>29625</v>
      </c>
      <c r="I115" t="s">
        <v>19</v>
      </c>
      <c r="J115">
        <v>23537</v>
      </c>
      <c r="K115" s="2">
        <v>0.87</v>
      </c>
      <c r="L115" s="2">
        <v>0.69</v>
      </c>
      <c r="M115">
        <v>44</v>
      </c>
      <c r="N115">
        <v>16</v>
      </c>
      <c r="O115" s="2">
        <v>0.78</v>
      </c>
      <c r="P115" s="9">
        <v>0.18000000000000005</v>
      </c>
    </row>
    <row r="116" spans="1:16" x14ac:dyDescent="0.25">
      <c r="A116">
        <v>26</v>
      </c>
      <c r="B116">
        <v>27374</v>
      </c>
      <c r="C116" t="s">
        <v>25</v>
      </c>
      <c r="D116" t="s">
        <v>35</v>
      </c>
      <c r="E116" t="s">
        <v>31</v>
      </c>
      <c r="F116" t="s">
        <v>24</v>
      </c>
      <c r="G116" s="1">
        <v>42491</v>
      </c>
      <c r="H116" s="1">
        <v>27603</v>
      </c>
      <c r="I116" t="s">
        <v>19</v>
      </c>
      <c r="J116">
        <v>7935</v>
      </c>
      <c r="K116" s="2">
        <v>0.83</v>
      </c>
      <c r="L116" s="2">
        <v>0.41</v>
      </c>
      <c r="M116">
        <v>50</v>
      </c>
      <c r="N116">
        <v>8</v>
      </c>
      <c r="O116" s="2">
        <v>0.62</v>
      </c>
      <c r="P116" s="9">
        <v>0.42</v>
      </c>
    </row>
    <row r="117" spans="1:16" x14ac:dyDescent="0.25">
      <c r="A117">
        <v>27</v>
      </c>
      <c r="B117">
        <v>29368</v>
      </c>
      <c r="C117" t="s">
        <v>26</v>
      </c>
      <c r="D117" t="s">
        <v>33</v>
      </c>
      <c r="E117" t="s">
        <v>31</v>
      </c>
      <c r="F117" t="s">
        <v>21</v>
      </c>
      <c r="G117" s="1">
        <v>42515</v>
      </c>
      <c r="H117" s="1">
        <v>26982</v>
      </c>
      <c r="I117" t="s">
        <v>19</v>
      </c>
      <c r="J117">
        <v>20121</v>
      </c>
      <c r="K117" s="2">
        <v>0.8</v>
      </c>
      <c r="L117" s="2">
        <v>0.64</v>
      </c>
      <c r="M117">
        <v>51</v>
      </c>
      <c r="N117">
        <v>8</v>
      </c>
      <c r="O117" s="2">
        <v>0.72</v>
      </c>
      <c r="P117" s="9">
        <v>0.16000000000000003</v>
      </c>
    </row>
    <row r="118" spans="1:16" x14ac:dyDescent="0.25">
      <c r="A118">
        <v>28</v>
      </c>
      <c r="B118">
        <v>27092</v>
      </c>
      <c r="C118" t="s">
        <v>38</v>
      </c>
      <c r="D118" t="s">
        <v>35</v>
      </c>
      <c r="E118" t="s">
        <v>31</v>
      </c>
      <c r="F118" t="s">
        <v>24</v>
      </c>
      <c r="G118" s="1">
        <v>42597</v>
      </c>
      <c r="H118" s="1">
        <v>29688</v>
      </c>
      <c r="I118" t="s">
        <v>19</v>
      </c>
      <c r="J118">
        <v>16408</v>
      </c>
      <c r="K118" s="2">
        <v>0.76</v>
      </c>
      <c r="L118" s="2">
        <v>0.91</v>
      </c>
      <c r="M118">
        <v>44</v>
      </c>
      <c r="N118">
        <v>8</v>
      </c>
      <c r="O118" s="2">
        <v>0.83499999999999996</v>
      </c>
      <c r="P118" s="9">
        <v>-0.15000000000000002</v>
      </c>
    </row>
    <row r="119" spans="1:16" x14ac:dyDescent="0.25">
      <c r="A119">
        <v>29</v>
      </c>
      <c r="B119">
        <v>26429</v>
      </c>
      <c r="C119" t="s">
        <v>39</v>
      </c>
      <c r="D119" t="s">
        <v>37</v>
      </c>
      <c r="E119" t="s">
        <v>31</v>
      </c>
      <c r="F119" t="s">
        <v>21</v>
      </c>
      <c r="G119" s="1">
        <v>35029</v>
      </c>
      <c r="H119" s="1">
        <v>30178</v>
      </c>
      <c r="I119" t="s">
        <v>19</v>
      </c>
      <c r="J119">
        <v>2323</v>
      </c>
      <c r="K119" s="2">
        <v>0.83</v>
      </c>
      <c r="L119" s="2">
        <v>0.75</v>
      </c>
      <c r="M119">
        <v>42</v>
      </c>
      <c r="N119">
        <v>29</v>
      </c>
      <c r="O119" s="2">
        <v>0.79</v>
      </c>
      <c r="P119" s="9">
        <v>7.999999999999996E-2</v>
      </c>
    </row>
    <row r="120" spans="1:16" x14ac:dyDescent="0.25">
      <c r="A120">
        <v>46</v>
      </c>
      <c r="B120">
        <v>26994</v>
      </c>
      <c r="C120" t="s">
        <v>40</v>
      </c>
      <c r="D120" t="s">
        <v>35</v>
      </c>
      <c r="E120" t="s">
        <v>31</v>
      </c>
      <c r="F120" t="s">
        <v>24</v>
      </c>
      <c r="G120" s="1">
        <v>35855</v>
      </c>
      <c r="H120" s="1">
        <v>24091</v>
      </c>
      <c r="I120" t="s">
        <v>19</v>
      </c>
      <c r="J120">
        <v>6553</v>
      </c>
      <c r="K120" s="2">
        <v>0.75</v>
      </c>
      <c r="L120" s="2">
        <v>0.75</v>
      </c>
      <c r="M120">
        <v>59</v>
      </c>
      <c r="N120">
        <v>27</v>
      </c>
      <c r="O120" s="2">
        <v>0.75</v>
      </c>
      <c r="P120" s="9">
        <v>0</v>
      </c>
    </row>
    <row r="121" spans="1:16" x14ac:dyDescent="0.25">
      <c r="A121">
        <v>47</v>
      </c>
      <c r="B121">
        <v>27007</v>
      </c>
      <c r="C121" t="s">
        <v>41</v>
      </c>
      <c r="D121" t="s">
        <v>33</v>
      </c>
      <c r="E121" t="s">
        <v>31</v>
      </c>
      <c r="F121" t="s">
        <v>24</v>
      </c>
      <c r="G121" s="1">
        <v>36544</v>
      </c>
      <c r="H121" s="1">
        <v>28423</v>
      </c>
      <c r="I121" t="s">
        <v>19</v>
      </c>
      <c r="J121">
        <v>13054</v>
      </c>
      <c r="K121" s="2">
        <v>0.82</v>
      </c>
      <c r="L121" s="2">
        <v>0.48</v>
      </c>
      <c r="M121">
        <v>47</v>
      </c>
      <c r="N121">
        <v>25</v>
      </c>
      <c r="O121" s="2">
        <v>0.65</v>
      </c>
      <c r="P121" s="9">
        <v>0.33999999999999997</v>
      </c>
    </row>
    <row r="122" spans="1:16" x14ac:dyDescent="0.25">
      <c r="A122">
        <v>48</v>
      </c>
      <c r="B122">
        <v>26424</v>
      </c>
      <c r="C122" t="s">
        <v>17</v>
      </c>
      <c r="D122" t="s">
        <v>35</v>
      </c>
      <c r="E122" t="s">
        <v>31</v>
      </c>
      <c r="F122" t="s">
        <v>24</v>
      </c>
      <c r="G122" s="1">
        <v>37118</v>
      </c>
      <c r="H122" s="1">
        <v>27130</v>
      </c>
      <c r="I122" t="s">
        <v>19</v>
      </c>
      <c r="J122">
        <v>20909</v>
      </c>
      <c r="K122" s="2">
        <v>0.88</v>
      </c>
      <c r="L122" s="2">
        <v>0.46</v>
      </c>
      <c r="M122">
        <v>51</v>
      </c>
      <c r="N122">
        <v>23</v>
      </c>
      <c r="O122" s="2">
        <v>0.67</v>
      </c>
      <c r="P122" s="9">
        <v>0.42</v>
      </c>
    </row>
    <row r="123" spans="1:16" x14ac:dyDescent="0.25">
      <c r="A123">
        <v>49</v>
      </c>
      <c r="B123">
        <v>26415</v>
      </c>
      <c r="C123" t="s">
        <v>20</v>
      </c>
      <c r="D123" t="s">
        <v>37</v>
      </c>
      <c r="E123" t="s">
        <v>31</v>
      </c>
      <c r="F123" t="s">
        <v>21</v>
      </c>
      <c r="G123" s="1">
        <v>37460</v>
      </c>
      <c r="H123" s="1">
        <v>25427</v>
      </c>
      <c r="I123" t="s">
        <v>19</v>
      </c>
      <c r="J123">
        <v>23771</v>
      </c>
      <c r="K123" s="2">
        <v>0.88</v>
      </c>
      <c r="L123" s="2">
        <v>0.63</v>
      </c>
      <c r="M123">
        <v>56</v>
      </c>
      <c r="N123">
        <v>22</v>
      </c>
      <c r="O123" s="2">
        <v>0.755</v>
      </c>
      <c r="P123" s="9">
        <v>0.25</v>
      </c>
    </row>
    <row r="124" spans="1:16" x14ac:dyDescent="0.25">
      <c r="A124">
        <v>54</v>
      </c>
      <c r="B124">
        <v>27143</v>
      </c>
      <c r="C124" t="s">
        <v>42</v>
      </c>
      <c r="D124" t="s">
        <v>35</v>
      </c>
      <c r="E124" t="s">
        <v>31</v>
      </c>
      <c r="F124" t="s">
        <v>24</v>
      </c>
      <c r="G124" s="1">
        <v>41748</v>
      </c>
      <c r="H124" s="1">
        <v>25434</v>
      </c>
      <c r="I124" t="s">
        <v>19</v>
      </c>
      <c r="J124">
        <v>8529</v>
      </c>
      <c r="K124" s="2">
        <v>0.83</v>
      </c>
      <c r="L124" s="2">
        <v>0.77</v>
      </c>
      <c r="M124">
        <v>56</v>
      </c>
      <c r="N124">
        <v>10</v>
      </c>
      <c r="O124" s="2">
        <v>0.8</v>
      </c>
      <c r="P124" s="9">
        <v>5.9999999999999942E-2</v>
      </c>
    </row>
    <row r="125" spans="1:16" x14ac:dyDescent="0.25">
      <c r="A125">
        <v>55</v>
      </c>
      <c r="B125">
        <v>27393</v>
      </c>
      <c r="C125" t="s">
        <v>43</v>
      </c>
      <c r="D125" t="s">
        <v>33</v>
      </c>
      <c r="E125" t="s">
        <v>31</v>
      </c>
      <c r="F125" t="s">
        <v>15</v>
      </c>
      <c r="G125" s="1">
        <v>41977</v>
      </c>
      <c r="H125" s="1">
        <v>29527</v>
      </c>
      <c r="I125" t="s">
        <v>19</v>
      </c>
      <c r="J125">
        <v>3453</v>
      </c>
      <c r="K125" s="2">
        <v>0.87</v>
      </c>
      <c r="L125" s="2">
        <v>0.83</v>
      </c>
      <c r="M125">
        <v>44</v>
      </c>
      <c r="N125">
        <v>10</v>
      </c>
      <c r="O125" s="2">
        <v>0.85</v>
      </c>
      <c r="P125" s="9">
        <v>4.0000000000000036E-2</v>
      </c>
    </row>
    <row r="126" spans="1:16" x14ac:dyDescent="0.25">
      <c r="A126">
        <v>56</v>
      </c>
      <c r="B126">
        <v>30351</v>
      </c>
      <c r="C126" t="s">
        <v>44</v>
      </c>
      <c r="D126" t="s">
        <v>35</v>
      </c>
      <c r="E126" t="s">
        <v>31</v>
      </c>
      <c r="F126" t="s">
        <v>15</v>
      </c>
      <c r="G126" s="1">
        <v>42053</v>
      </c>
      <c r="H126" s="1">
        <v>27098</v>
      </c>
      <c r="I126" t="s">
        <v>19</v>
      </c>
      <c r="J126">
        <v>14170</v>
      </c>
      <c r="K126" s="2">
        <v>0.77</v>
      </c>
      <c r="L126" s="2">
        <v>0.89</v>
      </c>
      <c r="M126">
        <v>51</v>
      </c>
      <c r="N126">
        <v>9</v>
      </c>
      <c r="O126" s="2">
        <v>0.83</v>
      </c>
      <c r="P126" s="9">
        <v>-0.12</v>
      </c>
    </row>
    <row r="127" spans="1:16" x14ac:dyDescent="0.25">
      <c r="A127">
        <v>57</v>
      </c>
      <c r="B127">
        <v>26441</v>
      </c>
      <c r="C127" t="s">
        <v>45</v>
      </c>
      <c r="D127" t="s">
        <v>37</v>
      </c>
      <c r="E127" t="s">
        <v>31</v>
      </c>
      <c r="F127" t="s">
        <v>21</v>
      </c>
      <c r="G127" s="1">
        <v>42597</v>
      </c>
      <c r="H127" s="1">
        <v>30987</v>
      </c>
      <c r="I127" t="s">
        <v>19</v>
      </c>
      <c r="J127">
        <v>3254</v>
      </c>
      <c r="K127" s="2">
        <v>0.81</v>
      </c>
      <c r="L127" s="2">
        <v>0.85</v>
      </c>
      <c r="M127">
        <v>40</v>
      </c>
      <c r="N127">
        <v>8</v>
      </c>
      <c r="O127" s="2">
        <v>0.83</v>
      </c>
      <c r="P127" s="9">
        <v>-3.9999999999999925E-2</v>
      </c>
    </row>
    <row r="128" spans="1:16" x14ac:dyDescent="0.25">
      <c r="A128">
        <v>67</v>
      </c>
      <c r="B128">
        <v>27009</v>
      </c>
      <c r="C128" t="s">
        <v>46</v>
      </c>
      <c r="D128" t="s">
        <v>35</v>
      </c>
      <c r="E128" t="s">
        <v>31</v>
      </c>
      <c r="F128" t="s">
        <v>15</v>
      </c>
      <c r="G128" s="1">
        <v>38816</v>
      </c>
      <c r="H128" s="1">
        <v>24781</v>
      </c>
      <c r="I128" t="s">
        <v>19</v>
      </c>
      <c r="J128">
        <v>5735</v>
      </c>
      <c r="K128" s="2">
        <v>0.82</v>
      </c>
      <c r="L128" s="2">
        <v>0.69</v>
      </c>
      <c r="M128">
        <v>57</v>
      </c>
      <c r="N128">
        <v>18</v>
      </c>
      <c r="O128" s="2">
        <v>0.755</v>
      </c>
      <c r="P128" s="9">
        <v>0.13</v>
      </c>
    </row>
    <row r="129" spans="1:16" x14ac:dyDescent="0.25">
      <c r="A129">
        <v>68</v>
      </c>
      <c r="B129">
        <v>26428</v>
      </c>
      <c r="C129" t="s">
        <v>22</v>
      </c>
      <c r="D129" t="s">
        <v>33</v>
      </c>
      <c r="E129" t="s">
        <v>31</v>
      </c>
      <c r="F129" t="s">
        <v>15</v>
      </c>
      <c r="G129" s="1">
        <v>39298</v>
      </c>
      <c r="H129" s="1">
        <v>25572</v>
      </c>
      <c r="I129" t="s">
        <v>19</v>
      </c>
      <c r="J129">
        <v>2725</v>
      </c>
      <c r="K129" s="2">
        <v>0.8</v>
      </c>
      <c r="L129" s="2">
        <v>0.54</v>
      </c>
      <c r="M129">
        <v>55</v>
      </c>
      <c r="N129">
        <v>17</v>
      </c>
      <c r="O129" s="2">
        <v>0.67</v>
      </c>
      <c r="P129" s="9">
        <v>0.26</v>
      </c>
    </row>
    <row r="130" spans="1:16" x14ac:dyDescent="0.25">
      <c r="A130">
        <v>69</v>
      </c>
      <c r="B130">
        <v>26417</v>
      </c>
      <c r="C130" t="s">
        <v>23</v>
      </c>
      <c r="D130" t="s">
        <v>35</v>
      </c>
      <c r="E130" t="s">
        <v>31</v>
      </c>
      <c r="F130" t="s">
        <v>24</v>
      </c>
      <c r="G130" s="1">
        <v>39725</v>
      </c>
      <c r="H130" s="1">
        <v>25981</v>
      </c>
      <c r="I130" t="s">
        <v>19</v>
      </c>
      <c r="J130">
        <v>5909</v>
      </c>
      <c r="K130" s="2">
        <v>0.76</v>
      </c>
      <c r="L130" s="2">
        <v>0.43</v>
      </c>
      <c r="M130">
        <v>54</v>
      </c>
      <c r="N130">
        <v>16</v>
      </c>
      <c r="O130" s="2">
        <v>0.59499999999999997</v>
      </c>
      <c r="P130" s="9">
        <v>0.33</v>
      </c>
    </row>
    <row r="131" spans="1:16" x14ac:dyDescent="0.25">
      <c r="A131">
        <v>70</v>
      </c>
      <c r="B131">
        <v>27150</v>
      </c>
      <c r="C131" t="s">
        <v>47</v>
      </c>
      <c r="D131" t="s">
        <v>37</v>
      </c>
      <c r="E131" t="s">
        <v>31</v>
      </c>
      <c r="F131" t="s">
        <v>24</v>
      </c>
      <c r="G131" s="1">
        <v>40180</v>
      </c>
      <c r="H131" s="1">
        <v>23726</v>
      </c>
      <c r="I131" t="s">
        <v>19</v>
      </c>
      <c r="J131">
        <v>11445</v>
      </c>
      <c r="K131" s="2">
        <v>0.8</v>
      </c>
      <c r="L131" s="2">
        <v>0.57999999999999996</v>
      </c>
      <c r="M131">
        <v>60</v>
      </c>
      <c r="N131">
        <v>15</v>
      </c>
      <c r="O131" s="2">
        <v>0.69</v>
      </c>
      <c r="P131" s="9">
        <v>0.22000000000000008</v>
      </c>
    </row>
    <row r="132" spans="1:16" x14ac:dyDescent="0.25">
      <c r="A132">
        <v>83</v>
      </c>
      <c r="B132">
        <v>26399</v>
      </c>
      <c r="C132" t="s">
        <v>20</v>
      </c>
      <c r="D132" t="s">
        <v>33</v>
      </c>
      <c r="E132" t="s">
        <v>31</v>
      </c>
      <c r="F132" t="s">
        <v>24</v>
      </c>
      <c r="G132" s="1">
        <v>37282</v>
      </c>
      <c r="H132" s="1">
        <v>30042</v>
      </c>
      <c r="I132" t="s">
        <v>19</v>
      </c>
      <c r="J132">
        <v>6834</v>
      </c>
      <c r="K132" s="2">
        <v>0.83</v>
      </c>
      <c r="L132" s="2">
        <v>0.64</v>
      </c>
      <c r="M132">
        <v>43</v>
      </c>
      <c r="N132">
        <v>23</v>
      </c>
      <c r="O132" s="2">
        <v>0.73499999999999999</v>
      </c>
      <c r="P132" s="9">
        <v>0.18999999999999995</v>
      </c>
    </row>
    <row r="133" spans="1:16" x14ac:dyDescent="0.25">
      <c r="A133">
        <v>84</v>
      </c>
      <c r="B133">
        <v>26442</v>
      </c>
      <c r="C133" t="s">
        <v>48</v>
      </c>
      <c r="D133" t="s">
        <v>35</v>
      </c>
      <c r="E133" t="s">
        <v>31</v>
      </c>
      <c r="F133" t="s">
        <v>15</v>
      </c>
      <c r="G133" s="1">
        <v>37975</v>
      </c>
      <c r="H133" s="1">
        <v>24969</v>
      </c>
      <c r="I133" t="s">
        <v>19</v>
      </c>
      <c r="J133">
        <v>1860</v>
      </c>
      <c r="K133" s="2">
        <v>0.89</v>
      </c>
      <c r="L133" s="2">
        <v>0.94</v>
      </c>
      <c r="M133">
        <v>57</v>
      </c>
      <c r="N133">
        <v>21</v>
      </c>
      <c r="O133" s="2">
        <v>0.91500000000000004</v>
      </c>
      <c r="P133" s="9">
        <v>-4.9999999999999933E-2</v>
      </c>
    </row>
    <row r="134" spans="1:16" x14ac:dyDescent="0.25">
      <c r="A134">
        <v>85</v>
      </c>
      <c r="B134">
        <v>25908</v>
      </c>
      <c r="C134" t="s">
        <v>49</v>
      </c>
      <c r="D134" t="s">
        <v>37</v>
      </c>
      <c r="E134" t="s">
        <v>31</v>
      </c>
      <c r="F134" t="s">
        <v>15</v>
      </c>
      <c r="G134" s="1">
        <v>38403</v>
      </c>
      <c r="H134" s="1">
        <v>26618</v>
      </c>
      <c r="I134" t="s">
        <v>19</v>
      </c>
      <c r="J134">
        <v>8730</v>
      </c>
      <c r="K134" s="2">
        <v>0.88</v>
      </c>
      <c r="L134" s="2">
        <v>0.95</v>
      </c>
      <c r="M134">
        <v>52</v>
      </c>
      <c r="N134">
        <v>20</v>
      </c>
      <c r="O134" s="2">
        <v>0.91500000000000004</v>
      </c>
      <c r="P134" s="9">
        <v>-6.9999999999999951E-2</v>
      </c>
    </row>
    <row r="135" spans="1:16" x14ac:dyDescent="0.25">
      <c r="A135">
        <v>3</v>
      </c>
      <c r="B135">
        <v>26446</v>
      </c>
      <c r="C135" t="s">
        <v>27</v>
      </c>
      <c r="D135" t="s">
        <v>50</v>
      </c>
      <c r="E135" t="s">
        <v>51</v>
      </c>
      <c r="F135" t="s">
        <v>21</v>
      </c>
      <c r="G135" s="1">
        <v>41498</v>
      </c>
      <c r="H135" s="1">
        <v>29990</v>
      </c>
      <c r="I135" t="s">
        <v>16</v>
      </c>
      <c r="J135">
        <v>25000</v>
      </c>
      <c r="K135" s="2">
        <v>0.8</v>
      </c>
      <c r="L135" s="2">
        <v>0.9</v>
      </c>
      <c r="M135">
        <v>43</v>
      </c>
      <c r="N135">
        <v>11</v>
      </c>
      <c r="O135" s="2">
        <v>0.85</v>
      </c>
      <c r="P135" s="9">
        <v>-9.9999999999999978E-2</v>
      </c>
    </row>
    <row r="136" spans="1:16" x14ac:dyDescent="0.25">
      <c r="A136">
        <v>9</v>
      </c>
      <c r="B136">
        <v>26412</v>
      </c>
      <c r="C136" t="s">
        <v>52</v>
      </c>
      <c r="D136" t="s">
        <v>53</v>
      </c>
      <c r="E136" t="s">
        <v>51</v>
      </c>
      <c r="F136" t="s">
        <v>24</v>
      </c>
      <c r="G136" s="1">
        <v>39767</v>
      </c>
      <c r="H136" s="1">
        <v>30733</v>
      </c>
      <c r="I136" t="s">
        <v>19</v>
      </c>
      <c r="J136">
        <v>11492</v>
      </c>
      <c r="K136" s="2">
        <v>0.81</v>
      </c>
      <c r="L136" s="2">
        <v>0.77</v>
      </c>
      <c r="M136">
        <v>41</v>
      </c>
      <c r="N136">
        <v>16</v>
      </c>
      <c r="O136" s="2">
        <v>0.79</v>
      </c>
      <c r="P136" s="9">
        <v>4.0000000000000036E-2</v>
      </c>
    </row>
    <row r="137" spans="1:16" x14ac:dyDescent="0.25">
      <c r="A137">
        <v>30</v>
      </c>
      <c r="B137">
        <v>25905</v>
      </c>
      <c r="C137" t="s">
        <v>54</v>
      </c>
      <c r="D137" t="s">
        <v>53</v>
      </c>
      <c r="E137" t="s">
        <v>51</v>
      </c>
      <c r="F137" t="s">
        <v>15</v>
      </c>
      <c r="G137" s="1">
        <v>41749</v>
      </c>
      <c r="H137" s="1">
        <v>23688</v>
      </c>
      <c r="I137" t="s">
        <v>19</v>
      </c>
      <c r="J137">
        <v>5578</v>
      </c>
      <c r="K137" s="2">
        <v>0.76</v>
      </c>
      <c r="L137" s="2">
        <v>0.97</v>
      </c>
      <c r="M137">
        <v>60</v>
      </c>
      <c r="N137">
        <v>10</v>
      </c>
      <c r="O137" s="2">
        <v>0.86499999999999999</v>
      </c>
      <c r="P137" s="9">
        <v>-0.20999999999999996</v>
      </c>
    </row>
    <row r="138" spans="1:16" x14ac:dyDescent="0.25">
      <c r="A138">
        <v>50</v>
      </c>
      <c r="B138">
        <v>30350</v>
      </c>
      <c r="C138" t="s">
        <v>48</v>
      </c>
      <c r="D138" t="s">
        <v>53</v>
      </c>
      <c r="E138" t="s">
        <v>51</v>
      </c>
      <c r="F138" t="s">
        <v>24</v>
      </c>
      <c r="G138" s="1">
        <v>37817</v>
      </c>
      <c r="H138" s="1">
        <v>25539</v>
      </c>
      <c r="I138" t="s">
        <v>19</v>
      </c>
      <c r="J138">
        <v>6348</v>
      </c>
      <c r="K138" s="2">
        <v>0.76</v>
      </c>
      <c r="L138" s="2">
        <v>0.69</v>
      </c>
      <c r="M138">
        <v>55</v>
      </c>
      <c r="N138">
        <v>21</v>
      </c>
      <c r="O138" s="2">
        <v>0.72499999999999998</v>
      </c>
      <c r="P138" s="9">
        <v>7.0000000000000062E-2</v>
      </c>
    </row>
    <row r="139" spans="1:16" x14ac:dyDescent="0.25">
      <c r="A139">
        <v>58</v>
      </c>
      <c r="B139">
        <v>30349</v>
      </c>
      <c r="C139" t="s">
        <v>55</v>
      </c>
      <c r="D139" t="s">
        <v>53</v>
      </c>
      <c r="E139" t="s">
        <v>51</v>
      </c>
      <c r="F139" t="s">
        <v>21</v>
      </c>
      <c r="G139" s="1">
        <v>42598</v>
      </c>
      <c r="H139" s="1">
        <v>25876</v>
      </c>
      <c r="I139" t="s">
        <v>19</v>
      </c>
      <c r="J139">
        <v>1952</v>
      </c>
      <c r="K139" s="2">
        <v>0.83</v>
      </c>
      <c r="L139" s="2">
        <v>0.76</v>
      </c>
      <c r="M139">
        <v>54</v>
      </c>
      <c r="N139">
        <v>8</v>
      </c>
      <c r="O139" s="2">
        <v>0.79500000000000004</v>
      </c>
      <c r="P139" s="9">
        <v>6.9999999999999951E-2</v>
      </c>
    </row>
    <row r="140" spans="1:16" x14ac:dyDescent="0.25">
      <c r="A140">
        <v>71</v>
      </c>
      <c r="B140">
        <v>30460</v>
      </c>
      <c r="C140" t="s">
        <v>56</v>
      </c>
      <c r="D140" t="s">
        <v>53</v>
      </c>
      <c r="E140" t="s">
        <v>51</v>
      </c>
      <c r="F140" t="s">
        <v>24</v>
      </c>
      <c r="G140" s="1">
        <v>40680</v>
      </c>
      <c r="H140" s="1">
        <v>28100</v>
      </c>
      <c r="I140" t="s">
        <v>19</v>
      </c>
      <c r="J140">
        <v>18214</v>
      </c>
      <c r="K140" s="2">
        <v>0.78</v>
      </c>
      <c r="L140" s="2">
        <v>0.64</v>
      </c>
      <c r="M140">
        <v>48</v>
      </c>
      <c r="N140">
        <v>13</v>
      </c>
      <c r="O140" s="2">
        <v>0.71</v>
      </c>
      <c r="P140" s="9">
        <v>0.14000000000000001</v>
      </c>
    </row>
    <row r="141" spans="1:16" x14ac:dyDescent="0.25">
      <c r="A141">
        <v>3</v>
      </c>
      <c r="B141">
        <v>26446</v>
      </c>
      <c r="C141" t="s">
        <v>27</v>
      </c>
      <c r="D141" t="s">
        <v>50</v>
      </c>
      <c r="E141" t="s">
        <v>51</v>
      </c>
      <c r="F141" t="s">
        <v>21</v>
      </c>
      <c r="G141" s="1">
        <v>41498</v>
      </c>
      <c r="H141" s="1">
        <v>29990</v>
      </c>
      <c r="I141" t="s">
        <v>16</v>
      </c>
      <c r="J141">
        <v>25000</v>
      </c>
      <c r="K141" s="2">
        <v>0.8</v>
      </c>
      <c r="L141" s="2">
        <v>0.9</v>
      </c>
      <c r="M141">
        <v>43</v>
      </c>
      <c r="N141">
        <v>11</v>
      </c>
      <c r="O141" s="2">
        <v>0.85</v>
      </c>
      <c r="P141" s="9">
        <v>-9.9999999999999978E-2</v>
      </c>
    </row>
    <row r="142" spans="1:16" x14ac:dyDescent="0.25">
      <c r="A142">
        <v>9</v>
      </c>
      <c r="B142">
        <v>26412</v>
      </c>
      <c r="C142" t="s">
        <v>52</v>
      </c>
      <c r="D142" t="s">
        <v>53</v>
      </c>
      <c r="E142" t="s">
        <v>51</v>
      </c>
      <c r="F142" t="s">
        <v>24</v>
      </c>
      <c r="G142" s="1">
        <v>39767</v>
      </c>
      <c r="H142" s="1">
        <v>30733</v>
      </c>
      <c r="I142" t="s">
        <v>19</v>
      </c>
      <c r="J142">
        <v>11492</v>
      </c>
      <c r="K142" s="2">
        <v>0.81</v>
      </c>
      <c r="L142" s="2">
        <v>0.77</v>
      </c>
      <c r="M142">
        <v>41</v>
      </c>
      <c r="N142">
        <v>16</v>
      </c>
      <c r="O142" s="2">
        <v>0.79</v>
      </c>
      <c r="P142" s="9">
        <v>4.0000000000000036E-2</v>
      </c>
    </row>
    <row r="143" spans="1:16" x14ac:dyDescent="0.25">
      <c r="A143">
        <v>30</v>
      </c>
      <c r="B143">
        <v>25905</v>
      </c>
      <c r="C143" t="s">
        <v>54</v>
      </c>
      <c r="D143" t="s">
        <v>53</v>
      </c>
      <c r="E143" t="s">
        <v>51</v>
      </c>
      <c r="F143" t="s">
        <v>15</v>
      </c>
      <c r="G143" s="1">
        <v>41749</v>
      </c>
      <c r="H143" s="1">
        <v>23688</v>
      </c>
      <c r="I143" t="s">
        <v>19</v>
      </c>
      <c r="J143">
        <v>5578</v>
      </c>
      <c r="K143" s="2">
        <v>0.76</v>
      </c>
      <c r="L143" s="2">
        <v>0.97</v>
      </c>
      <c r="M143">
        <v>60</v>
      </c>
      <c r="N143">
        <v>10</v>
      </c>
      <c r="O143" s="2">
        <v>0.86499999999999999</v>
      </c>
      <c r="P143" s="9">
        <v>-0.20999999999999996</v>
      </c>
    </row>
    <row r="144" spans="1:16" x14ac:dyDescent="0.25">
      <c r="A144">
        <v>50</v>
      </c>
      <c r="B144">
        <v>30350</v>
      </c>
      <c r="C144" t="s">
        <v>48</v>
      </c>
      <c r="D144" t="s">
        <v>53</v>
      </c>
      <c r="E144" t="s">
        <v>51</v>
      </c>
      <c r="F144" t="s">
        <v>24</v>
      </c>
      <c r="G144" s="1">
        <v>37817</v>
      </c>
      <c r="H144" s="1">
        <v>25539</v>
      </c>
      <c r="I144" t="s">
        <v>19</v>
      </c>
      <c r="J144">
        <v>6348</v>
      </c>
      <c r="K144" s="2">
        <v>0.76</v>
      </c>
      <c r="L144" s="2">
        <v>0.69</v>
      </c>
      <c r="M144">
        <v>55</v>
      </c>
      <c r="N144">
        <v>21</v>
      </c>
      <c r="O144" s="2">
        <v>0.72499999999999998</v>
      </c>
      <c r="P144" s="9">
        <v>7.0000000000000062E-2</v>
      </c>
    </row>
    <row r="145" spans="1:16" x14ac:dyDescent="0.25">
      <c r="A145">
        <v>58</v>
      </c>
      <c r="B145">
        <v>30349</v>
      </c>
      <c r="C145" t="s">
        <v>55</v>
      </c>
      <c r="D145" t="s">
        <v>53</v>
      </c>
      <c r="E145" t="s">
        <v>51</v>
      </c>
      <c r="F145" t="s">
        <v>21</v>
      </c>
      <c r="G145" s="1">
        <v>42598</v>
      </c>
      <c r="H145" s="1">
        <v>25876</v>
      </c>
      <c r="I145" t="s">
        <v>19</v>
      </c>
      <c r="J145">
        <v>1952</v>
      </c>
      <c r="K145" s="2">
        <v>0.83</v>
      </c>
      <c r="L145" s="2">
        <v>0.76</v>
      </c>
      <c r="M145">
        <v>54</v>
      </c>
      <c r="N145">
        <v>8</v>
      </c>
      <c r="O145" s="2">
        <v>0.79500000000000004</v>
      </c>
      <c r="P145" s="9">
        <v>6.9999999999999951E-2</v>
      </c>
    </row>
    <row r="146" spans="1:16" x14ac:dyDescent="0.25">
      <c r="A146">
        <v>71</v>
      </c>
      <c r="B146">
        <v>30460</v>
      </c>
      <c r="C146" t="s">
        <v>56</v>
      </c>
      <c r="D146" t="s">
        <v>53</v>
      </c>
      <c r="E146" t="s">
        <v>51</v>
      </c>
      <c r="F146" t="s">
        <v>24</v>
      </c>
      <c r="G146" s="1">
        <v>40680</v>
      </c>
      <c r="H146" s="1">
        <v>28100</v>
      </c>
      <c r="I146" t="s">
        <v>19</v>
      </c>
      <c r="J146">
        <v>18214</v>
      </c>
      <c r="K146" s="2">
        <v>0.78</v>
      </c>
      <c r="L146" s="2">
        <v>0.64</v>
      </c>
      <c r="M146">
        <v>48</v>
      </c>
      <c r="N146">
        <v>13</v>
      </c>
      <c r="O146" s="2">
        <v>0.71</v>
      </c>
      <c r="P146" s="9">
        <v>0.14000000000000001</v>
      </c>
    </row>
    <row r="147" spans="1:16" x14ac:dyDescent="0.25">
      <c r="A147">
        <v>2</v>
      </c>
      <c r="B147">
        <v>28127</v>
      </c>
      <c r="C147" t="s">
        <v>57</v>
      </c>
      <c r="D147" t="s">
        <v>58</v>
      </c>
      <c r="E147" t="s">
        <v>59</v>
      </c>
      <c r="F147" t="s">
        <v>24</v>
      </c>
      <c r="G147" s="1">
        <v>40919</v>
      </c>
      <c r="H147" s="1">
        <v>23989</v>
      </c>
      <c r="I147" t="s">
        <v>16</v>
      </c>
      <c r="J147">
        <v>21575</v>
      </c>
      <c r="K147" s="2">
        <v>0.86</v>
      </c>
      <c r="L147" s="2">
        <v>0.87</v>
      </c>
      <c r="M147">
        <v>60</v>
      </c>
      <c r="N147">
        <v>13</v>
      </c>
      <c r="O147" s="2">
        <v>0.86499999999999999</v>
      </c>
      <c r="P147" s="9">
        <v>-1.0000000000000009E-2</v>
      </c>
    </row>
    <row r="148" spans="1:16" x14ac:dyDescent="0.25">
      <c r="A148">
        <v>14</v>
      </c>
      <c r="B148">
        <v>26422</v>
      </c>
      <c r="C148" t="s">
        <v>48</v>
      </c>
      <c r="D148" t="s">
        <v>60</v>
      </c>
      <c r="E148" t="s">
        <v>59</v>
      </c>
      <c r="F148" t="s">
        <v>15</v>
      </c>
      <c r="G148" s="1">
        <v>38398</v>
      </c>
      <c r="H148" s="1">
        <v>23333</v>
      </c>
      <c r="I148" t="s">
        <v>19</v>
      </c>
      <c r="J148">
        <v>19023</v>
      </c>
      <c r="K148" s="2">
        <v>0.78</v>
      </c>
      <c r="L148" s="2">
        <v>0.89</v>
      </c>
      <c r="M148">
        <v>61</v>
      </c>
      <c r="N148">
        <v>20</v>
      </c>
      <c r="O148" s="2">
        <v>0.83499999999999996</v>
      </c>
      <c r="P148" s="9">
        <v>-0.10999999999999999</v>
      </c>
    </row>
    <row r="149" spans="1:16" x14ac:dyDescent="0.25">
      <c r="A149">
        <v>15</v>
      </c>
      <c r="B149">
        <v>26414</v>
      </c>
      <c r="C149" t="s">
        <v>49</v>
      </c>
      <c r="D149" t="s">
        <v>61</v>
      </c>
      <c r="E149" t="s">
        <v>59</v>
      </c>
      <c r="F149" t="s">
        <v>24</v>
      </c>
      <c r="G149" s="1">
        <v>40292</v>
      </c>
      <c r="H149" s="1">
        <v>26435</v>
      </c>
      <c r="I149" t="s">
        <v>19</v>
      </c>
      <c r="J149">
        <v>12801</v>
      </c>
      <c r="K149" s="2">
        <v>0.75</v>
      </c>
      <c r="L149" s="2">
        <v>0.76</v>
      </c>
      <c r="M149">
        <v>53</v>
      </c>
      <c r="N149">
        <v>14</v>
      </c>
      <c r="O149" s="2">
        <v>0.755</v>
      </c>
      <c r="P149" s="9">
        <v>-1.0000000000000009E-2</v>
      </c>
    </row>
    <row r="150" spans="1:16" x14ac:dyDescent="0.25">
      <c r="A150">
        <v>24</v>
      </c>
      <c r="B150">
        <v>30352</v>
      </c>
      <c r="C150" t="s">
        <v>62</v>
      </c>
      <c r="D150" t="s">
        <v>61</v>
      </c>
      <c r="E150" t="s">
        <v>59</v>
      </c>
      <c r="F150" t="s">
        <v>15</v>
      </c>
      <c r="G150" s="1">
        <v>42483</v>
      </c>
      <c r="H150" s="1">
        <v>25924</v>
      </c>
      <c r="I150" t="s">
        <v>19</v>
      </c>
      <c r="J150">
        <v>16742</v>
      </c>
      <c r="K150" s="2">
        <v>0.87</v>
      </c>
      <c r="L150" s="2">
        <v>0.87</v>
      </c>
      <c r="M150">
        <v>54</v>
      </c>
      <c r="N150">
        <v>8</v>
      </c>
      <c r="O150" s="2">
        <v>0.87</v>
      </c>
      <c r="P150" s="9">
        <v>0</v>
      </c>
    </row>
    <row r="151" spans="1:16" x14ac:dyDescent="0.25">
      <c r="A151">
        <v>25</v>
      </c>
      <c r="B151">
        <v>26726</v>
      </c>
      <c r="C151" t="s">
        <v>63</v>
      </c>
      <c r="D151" t="s">
        <v>61</v>
      </c>
      <c r="E151" t="s">
        <v>59</v>
      </c>
      <c r="F151" t="s">
        <v>15</v>
      </c>
      <c r="G151" s="1">
        <v>42490</v>
      </c>
      <c r="H151" s="1">
        <v>30587</v>
      </c>
      <c r="I151" t="s">
        <v>19</v>
      </c>
      <c r="J151">
        <v>15635</v>
      </c>
      <c r="K151" s="2">
        <v>0.84</v>
      </c>
      <c r="L151" s="2">
        <v>0.84</v>
      </c>
      <c r="M151">
        <v>41</v>
      </c>
      <c r="N151">
        <v>8</v>
      </c>
      <c r="O151" s="2">
        <v>0.84</v>
      </c>
      <c r="P151" s="9">
        <v>0</v>
      </c>
    </row>
    <row r="152" spans="1:16" x14ac:dyDescent="0.25">
      <c r="A152">
        <v>35</v>
      </c>
      <c r="B152">
        <v>26431</v>
      </c>
      <c r="C152" t="s">
        <v>64</v>
      </c>
      <c r="D152" t="s">
        <v>60</v>
      </c>
      <c r="E152" t="s">
        <v>59</v>
      </c>
      <c r="F152" t="s">
        <v>24</v>
      </c>
      <c r="G152" s="1">
        <v>42833</v>
      </c>
      <c r="H152" s="1">
        <v>30733</v>
      </c>
      <c r="I152" t="s">
        <v>19</v>
      </c>
      <c r="J152">
        <v>20897</v>
      </c>
      <c r="K152" s="2">
        <v>0.83</v>
      </c>
      <c r="L152" s="2">
        <v>0.67</v>
      </c>
      <c r="M152">
        <v>41</v>
      </c>
      <c r="N152">
        <v>7</v>
      </c>
      <c r="O152" s="2">
        <v>0.75</v>
      </c>
      <c r="P152" s="9">
        <v>0.15999999999999992</v>
      </c>
    </row>
    <row r="153" spans="1:16" x14ac:dyDescent="0.25">
      <c r="A153">
        <v>36</v>
      </c>
      <c r="B153">
        <v>26396</v>
      </c>
      <c r="C153" t="s">
        <v>47</v>
      </c>
      <c r="D153" t="s">
        <v>61</v>
      </c>
      <c r="E153" t="s">
        <v>59</v>
      </c>
      <c r="F153" t="s">
        <v>21</v>
      </c>
      <c r="G153" s="1">
        <v>41527</v>
      </c>
      <c r="H153" s="1">
        <v>27607</v>
      </c>
      <c r="I153" t="s">
        <v>19</v>
      </c>
      <c r="J153">
        <v>15730</v>
      </c>
      <c r="K153" s="2">
        <v>0.86</v>
      </c>
      <c r="L153" s="2">
        <v>0.53</v>
      </c>
      <c r="M153">
        <v>50</v>
      </c>
      <c r="N153">
        <v>11</v>
      </c>
      <c r="O153" s="2">
        <v>0.69499999999999995</v>
      </c>
      <c r="P153" s="9">
        <v>0.32999999999999996</v>
      </c>
    </row>
    <row r="154" spans="1:16" x14ac:dyDescent="0.25">
      <c r="A154">
        <v>44</v>
      </c>
      <c r="B154">
        <v>26445</v>
      </c>
      <c r="C154" t="s">
        <v>36</v>
      </c>
      <c r="D154" t="s">
        <v>61</v>
      </c>
      <c r="E154" t="s">
        <v>59</v>
      </c>
      <c r="F154" t="s">
        <v>24</v>
      </c>
      <c r="G154" s="1">
        <v>39671</v>
      </c>
      <c r="H154" s="1">
        <v>25496</v>
      </c>
      <c r="I154" t="s">
        <v>19</v>
      </c>
      <c r="J154">
        <v>16861</v>
      </c>
      <c r="K154" s="2">
        <v>0.87</v>
      </c>
      <c r="L154" s="2">
        <v>0.52</v>
      </c>
      <c r="M154">
        <v>55</v>
      </c>
      <c r="N154">
        <v>16</v>
      </c>
      <c r="O154" s="2">
        <v>0.69499999999999995</v>
      </c>
      <c r="P154" s="9">
        <v>0.35</v>
      </c>
    </row>
    <row r="155" spans="1:16" x14ac:dyDescent="0.25">
      <c r="A155">
        <v>45</v>
      </c>
      <c r="B155">
        <v>26400</v>
      </c>
      <c r="C155" t="s">
        <v>52</v>
      </c>
      <c r="D155" t="s">
        <v>61</v>
      </c>
      <c r="E155" t="s">
        <v>59</v>
      </c>
      <c r="F155" t="s">
        <v>15</v>
      </c>
      <c r="G155" s="1">
        <v>42084</v>
      </c>
      <c r="H155" s="1">
        <v>25856</v>
      </c>
      <c r="I155" t="s">
        <v>19</v>
      </c>
      <c r="J155">
        <v>5067</v>
      </c>
      <c r="K155" s="2">
        <v>0.86</v>
      </c>
      <c r="L155" s="2">
        <v>0.94</v>
      </c>
      <c r="M155">
        <v>54</v>
      </c>
      <c r="N155">
        <v>9</v>
      </c>
      <c r="O155" s="2">
        <v>0.9</v>
      </c>
      <c r="P155" s="9">
        <v>-7.999999999999996E-2</v>
      </c>
    </row>
    <row r="156" spans="1:16" x14ac:dyDescent="0.25">
      <c r="A156">
        <v>53</v>
      </c>
      <c r="B156">
        <v>26443</v>
      </c>
      <c r="C156" t="s">
        <v>65</v>
      </c>
      <c r="D156" t="s">
        <v>61</v>
      </c>
      <c r="E156" t="s">
        <v>59</v>
      </c>
      <c r="F156" t="s">
        <v>24</v>
      </c>
      <c r="G156" s="1">
        <v>39641</v>
      </c>
      <c r="H156" s="1">
        <v>25608</v>
      </c>
      <c r="I156" t="s">
        <v>19</v>
      </c>
      <c r="J156">
        <v>12903</v>
      </c>
      <c r="K156" s="2">
        <v>0.77</v>
      </c>
      <c r="L156" s="2">
        <v>0.75</v>
      </c>
      <c r="M156">
        <v>55</v>
      </c>
      <c r="N156">
        <v>16</v>
      </c>
      <c r="O156" s="2">
        <v>0.76</v>
      </c>
      <c r="P156" s="9">
        <v>2.0000000000000018E-2</v>
      </c>
    </row>
    <row r="157" spans="1:16" x14ac:dyDescent="0.25">
      <c r="A157">
        <v>63</v>
      </c>
      <c r="B157">
        <v>26610</v>
      </c>
      <c r="C157" t="s">
        <v>38</v>
      </c>
      <c r="D157" t="s">
        <v>60</v>
      </c>
      <c r="E157" t="s">
        <v>59</v>
      </c>
      <c r="F157" t="s">
        <v>15</v>
      </c>
      <c r="G157" s="1">
        <v>43121</v>
      </c>
      <c r="H157" s="1">
        <v>27200</v>
      </c>
      <c r="I157" t="s">
        <v>19</v>
      </c>
      <c r="J157">
        <v>4388</v>
      </c>
      <c r="K157" s="2">
        <v>0.86</v>
      </c>
      <c r="L157" s="2">
        <v>0.47</v>
      </c>
      <c r="M157">
        <v>51</v>
      </c>
      <c r="N157">
        <v>6</v>
      </c>
      <c r="O157" s="2">
        <v>0.66500000000000004</v>
      </c>
      <c r="P157" s="9">
        <v>0.39</v>
      </c>
    </row>
    <row r="158" spans="1:16" x14ac:dyDescent="0.25">
      <c r="A158">
        <v>64</v>
      </c>
      <c r="B158">
        <v>26404</v>
      </c>
      <c r="C158" t="s">
        <v>39</v>
      </c>
      <c r="D158" t="s">
        <v>61</v>
      </c>
      <c r="E158" t="s">
        <v>59</v>
      </c>
      <c r="F158" t="s">
        <v>15</v>
      </c>
      <c r="G158" s="1">
        <v>43463</v>
      </c>
      <c r="H158" s="1">
        <v>27167</v>
      </c>
      <c r="I158" t="s">
        <v>19</v>
      </c>
      <c r="J158">
        <v>15454</v>
      </c>
      <c r="K158" s="2">
        <v>0.87</v>
      </c>
      <c r="L158" s="2">
        <v>0.94</v>
      </c>
      <c r="M158">
        <v>51</v>
      </c>
      <c r="N158">
        <v>5</v>
      </c>
      <c r="O158" s="2">
        <v>0.90500000000000003</v>
      </c>
      <c r="P158" s="9">
        <v>-6.9999999999999951E-2</v>
      </c>
    </row>
    <row r="159" spans="1:16" x14ac:dyDescent="0.25">
      <c r="A159">
        <v>65</v>
      </c>
      <c r="B159">
        <v>26402</v>
      </c>
      <c r="C159" t="s">
        <v>54</v>
      </c>
      <c r="D159" t="s">
        <v>61</v>
      </c>
      <c r="E159" t="s">
        <v>59</v>
      </c>
      <c r="F159" t="s">
        <v>24</v>
      </c>
      <c r="G159" s="1">
        <v>37676</v>
      </c>
      <c r="H159" s="1">
        <v>25124</v>
      </c>
      <c r="I159" t="s">
        <v>19</v>
      </c>
      <c r="J159">
        <v>24472</v>
      </c>
      <c r="K159" s="2">
        <v>0.84</v>
      </c>
      <c r="L159" s="2">
        <v>0.52</v>
      </c>
      <c r="M159">
        <v>56</v>
      </c>
      <c r="N159">
        <v>22</v>
      </c>
      <c r="O159" s="2">
        <v>0.68</v>
      </c>
      <c r="P159" s="9">
        <v>0.31999999999999995</v>
      </c>
    </row>
    <row r="160" spans="1:16" x14ac:dyDescent="0.25">
      <c r="A160">
        <v>66</v>
      </c>
      <c r="B160">
        <v>26427</v>
      </c>
      <c r="C160" t="s">
        <v>66</v>
      </c>
      <c r="D160" t="s">
        <v>61</v>
      </c>
      <c r="E160" t="s">
        <v>59</v>
      </c>
      <c r="F160" t="s">
        <v>24</v>
      </c>
      <c r="G160" s="1">
        <v>37817</v>
      </c>
      <c r="H160" s="1">
        <v>23708</v>
      </c>
      <c r="I160" t="s">
        <v>19</v>
      </c>
      <c r="J160">
        <v>15992</v>
      </c>
      <c r="K160" s="2">
        <v>0.82</v>
      </c>
      <c r="L160" s="2">
        <v>0.91</v>
      </c>
      <c r="M160">
        <v>60</v>
      </c>
      <c r="N160">
        <v>21</v>
      </c>
      <c r="O160" s="2">
        <v>0.86499999999999999</v>
      </c>
      <c r="P160" s="9">
        <v>-9.000000000000008E-2</v>
      </c>
    </row>
    <row r="161" spans="1:16" x14ac:dyDescent="0.25">
      <c r="A161">
        <v>76</v>
      </c>
      <c r="B161">
        <v>26999</v>
      </c>
      <c r="C161" t="s">
        <v>67</v>
      </c>
      <c r="D161" t="s">
        <v>60</v>
      </c>
      <c r="E161" t="s">
        <v>59</v>
      </c>
      <c r="F161" t="s">
        <v>24</v>
      </c>
      <c r="G161" s="1">
        <v>42515</v>
      </c>
      <c r="H161" s="1">
        <v>24332</v>
      </c>
      <c r="I161" t="s">
        <v>19</v>
      </c>
      <c r="J161">
        <v>21183</v>
      </c>
      <c r="K161" s="2">
        <v>0.85</v>
      </c>
      <c r="L161" s="2">
        <v>0.66</v>
      </c>
      <c r="M161">
        <v>59</v>
      </c>
      <c r="N161">
        <v>8</v>
      </c>
      <c r="O161" s="2">
        <v>0.755</v>
      </c>
      <c r="P161" s="9">
        <v>0.18999999999999995</v>
      </c>
    </row>
    <row r="162" spans="1:16" x14ac:dyDescent="0.25">
      <c r="A162">
        <v>77</v>
      </c>
      <c r="B162">
        <v>28929</v>
      </c>
      <c r="C162" t="s">
        <v>32</v>
      </c>
      <c r="D162" t="s">
        <v>61</v>
      </c>
      <c r="E162" t="s">
        <v>59</v>
      </c>
      <c r="F162" t="s">
        <v>24</v>
      </c>
      <c r="G162" s="1">
        <v>41783</v>
      </c>
      <c r="H162" s="1">
        <v>25532</v>
      </c>
      <c r="I162" t="s">
        <v>19</v>
      </c>
      <c r="J162">
        <v>22459</v>
      </c>
      <c r="K162" s="2">
        <v>0.86</v>
      </c>
      <c r="L162" s="2">
        <v>0.43</v>
      </c>
      <c r="M162">
        <v>55</v>
      </c>
      <c r="N162">
        <v>10</v>
      </c>
      <c r="O162" s="2">
        <v>0.64500000000000002</v>
      </c>
      <c r="P162" s="9">
        <v>0.43</v>
      </c>
    </row>
    <row r="163" spans="1:16" x14ac:dyDescent="0.25">
      <c r="A163">
        <v>87</v>
      </c>
      <c r="B163">
        <v>26447</v>
      </c>
      <c r="C163" t="s">
        <v>65</v>
      </c>
      <c r="D163" t="s">
        <v>60</v>
      </c>
      <c r="E163" t="s">
        <v>59</v>
      </c>
      <c r="F163" t="s">
        <v>15</v>
      </c>
      <c r="G163" s="1">
        <v>39669</v>
      </c>
      <c r="H163" s="1">
        <v>29342</v>
      </c>
      <c r="I163" t="s">
        <v>19</v>
      </c>
      <c r="J163">
        <v>2227</v>
      </c>
      <c r="K163" s="2">
        <v>0.8</v>
      </c>
      <c r="L163" s="2">
        <v>0.59</v>
      </c>
      <c r="M163">
        <v>45</v>
      </c>
      <c r="N163">
        <v>16</v>
      </c>
      <c r="O163" s="2">
        <v>0.69499999999999995</v>
      </c>
      <c r="P163" s="9">
        <v>0.21000000000000008</v>
      </c>
    </row>
    <row r="164" spans="1:16" x14ac:dyDescent="0.25">
      <c r="A164">
        <v>88</v>
      </c>
      <c r="B164">
        <v>28227</v>
      </c>
      <c r="C164" t="s">
        <v>42</v>
      </c>
      <c r="D164" t="s">
        <v>61</v>
      </c>
      <c r="E164" t="s">
        <v>59</v>
      </c>
      <c r="F164" t="s">
        <v>15</v>
      </c>
      <c r="G164" s="1">
        <v>39767</v>
      </c>
      <c r="H164" s="1">
        <v>26395</v>
      </c>
      <c r="I164" t="s">
        <v>19</v>
      </c>
      <c r="J164">
        <v>1673</v>
      </c>
      <c r="K164" s="2">
        <v>0.78</v>
      </c>
      <c r="L164" s="2">
        <v>0.78</v>
      </c>
      <c r="M164">
        <v>53</v>
      </c>
      <c r="N164">
        <v>16</v>
      </c>
      <c r="O164" s="2">
        <v>0.78</v>
      </c>
      <c r="P164" s="9">
        <v>0</v>
      </c>
    </row>
    <row r="165" spans="1:16" x14ac:dyDescent="0.25">
      <c r="A165">
        <v>5</v>
      </c>
      <c r="B165">
        <v>27375</v>
      </c>
      <c r="C165" t="s">
        <v>67</v>
      </c>
      <c r="D165" t="s">
        <v>68</v>
      </c>
      <c r="E165" t="s">
        <v>69</v>
      </c>
      <c r="F165" t="s">
        <v>15</v>
      </c>
      <c r="G165" s="1">
        <v>36741</v>
      </c>
      <c r="H165" s="1">
        <v>29281</v>
      </c>
      <c r="I165" t="s">
        <v>19</v>
      </c>
      <c r="J165">
        <v>35000</v>
      </c>
      <c r="K165" s="2">
        <v>0.89</v>
      </c>
      <c r="L165" s="2">
        <v>0.52</v>
      </c>
      <c r="M165">
        <v>45</v>
      </c>
      <c r="N165">
        <v>24</v>
      </c>
      <c r="O165" s="2">
        <v>0.70499999999999996</v>
      </c>
      <c r="P165" s="9">
        <v>0.37</v>
      </c>
    </row>
    <row r="166" spans="1:16" x14ac:dyDescent="0.25">
      <c r="A166">
        <v>10</v>
      </c>
      <c r="B166">
        <v>30377</v>
      </c>
      <c r="C166" t="s">
        <v>40</v>
      </c>
      <c r="D166" t="s">
        <v>70</v>
      </c>
      <c r="E166" t="s">
        <v>69</v>
      </c>
      <c r="F166" t="s">
        <v>24</v>
      </c>
      <c r="G166" s="1">
        <v>40362</v>
      </c>
      <c r="H166" s="1">
        <v>25550</v>
      </c>
      <c r="I166" t="s">
        <v>71</v>
      </c>
      <c r="J166">
        <v>17456</v>
      </c>
      <c r="K166" s="2">
        <v>0.87</v>
      </c>
      <c r="L166" s="2">
        <v>0.97</v>
      </c>
      <c r="M166">
        <v>55</v>
      </c>
      <c r="N166">
        <v>14</v>
      </c>
      <c r="O166" s="2">
        <v>0.92</v>
      </c>
      <c r="P166" s="9">
        <v>-9.9999999999999978E-2</v>
      </c>
    </row>
    <row r="167" spans="1:16" x14ac:dyDescent="0.25">
      <c r="A167">
        <v>11</v>
      </c>
      <c r="B167">
        <v>29369</v>
      </c>
      <c r="C167" t="s">
        <v>41</v>
      </c>
      <c r="D167" t="s">
        <v>70</v>
      </c>
      <c r="E167" t="s">
        <v>69</v>
      </c>
      <c r="F167" t="s">
        <v>24</v>
      </c>
      <c r="G167" s="1">
        <v>42326</v>
      </c>
      <c r="H167" s="1">
        <v>28807</v>
      </c>
      <c r="I167" t="s">
        <v>71</v>
      </c>
      <c r="J167">
        <v>7943</v>
      </c>
      <c r="K167" s="2">
        <v>0.75</v>
      </c>
      <c r="L167" s="2">
        <v>0.7</v>
      </c>
      <c r="M167">
        <v>46</v>
      </c>
      <c r="N167">
        <v>9</v>
      </c>
      <c r="O167" s="2">
        <v>0.72499999999999998</v>
      </c>
      <c r="P167" s="9">
        <v>5.0000000000000044E-2</v>
      </c>
    </row>
    <row r="168" spans="1:16" x14ac:dyDescent="0.25">
      <c r="A168">
        <v>16</v>
      </c>
      <c r="B168">
        <v>27142</v>
      </c>
      <c r="C168" t="s">
        <v>28</v>
      </c>
      <c r="D168" t="s">
        <v>70</v>
      </c>
      <c r="E168" t="s">
        <v>69</v>
      </c>
      <c r="F168" t="s">
        <v>24</v>
      </c>
      <c r="G168" s="1">
        <v>40688</v>
      </c>
      <c r="H168" s="1">
        <v>26102</v>
      </c>
      <c r="I168" t="s">
        <v>71</v>
      </c>
      <c r="J168">
        <v>16613</v>
      </c>
      <c r="K168" s="2">
        <v>0.84</v>
      </c>
      <c r="L168" s="2">
        <v>0.42</v>
      </c>
      <c r="M168">
        <v>54</v>
      </c>
      <c r="N168">
        <v>13</v>
      </c>
      <c r="O168" s="2">
        <v>0.63</v>
      </c>
      <c r="P168" s="9">
        <v>0.42</v>
      </c>
    </row>
    <row r="169" spans="1:16" x14ac:dyDescent="0.25">
      <c r="A169">
        <v>17</v>
      </c>
      <c r="B169">
        <v>27650</v>
      </c>
      <c r="C169" t="s">
        <v>65</v>
      </c>
      <c r="D169" t="s">
        <v>70</v>
      </c>
      <c r="E169" t="s">
        <v>69</v>
      </c>
      <c r="F169" t="s">
        <v>24</v>
      </c>
      <c r="G169" s="1">
        <v>40726</v>
      </c>
      <c r="H169" s="1">
        <v>29194</v>
      </c>
      <c r="I169" t="s">
        <v>71</v>
      </c>
      <c r="J169">
        <v>6329</v>
      </c>
      <c r="K169" s="2">
        <v>0.81</v>
      </c>
      <c r="L169" s="2">
        <v>0.71</v>
      </c>
      <c r="M169">
        <v>45</v>
      </c>
      <c r="N169">
        <v>13</v>
      </c>
      <c r="O169" s="2">
        <v>0.76</v>
      </c>
      <c r="P169" s="9">
        <v>0.10000000000000009</v>
      </c>
    </row>
    <row r="170" spans="1:16" x14ac:dyDescent="0.25">
      <c r="A170">
        <v>18</v>
      </c>
      <c r="B170">
        <v>25906</v>
      </c>
      <c r="C170" t="s">
        <v>42</v>
      </c>
      <c r="D170" t="s">
        <v>70</v>
      </c>
      <c r="E170" t="s">
        <v>69</v>
      </c>
      <c r="F170" t="s">
        <v>15</v>
      </c>
      <c r="G170" s="1">
        <v>41498</v>
      </c>
      <c r="H170" s="1">
        <v>29664</v>
      </c>
      <c r="I170" t="s">
        <v>71</v>
      </c>
      <c r="J170">
        <v>17215</v>
      </c>
      <c r="K170" s="2">
        <v>0.8</v>
      </c>
      <c r="L170" s="2">
        <v>0.87</v>
      </c>
      <c r="M170">
        <v>44</v>
      </c>
      <c r="N170">
        <v>11</v>
      </c>
      <c r="O170" s="2">
        <v>0.83499999999999996</v>
      </c>
      <c r="P170" s="9">
        <v>-6.9999999999999951E-2</v>
      </c>
    </row>
    <row r="171" spans="1:16" x14ac:dyDescent="0.25">
      <c r="A171">
        <v>19</v>
      </c>
      <c r="B171">
        <v>26439</v>
      </c>
      <c r="C171" t="s">
        <v>43</v>
      </c>
      <c r="D171" t="s">
        <v>70</v>
      </c>
      <c r="E171" t="s">
        <v>69</v>
      </c>
      <c r="F171" t="s">
        <v>21</v>
      </c>
      <c r="G171" s="1">
        <v>41905</v>
      </c>
      <c r="H171" s="1">
        <v>25213</v>
      </c>
      <c r="I171" t="s">
        <v>71</v>
      </c>
      <c r="J171">
        <v>4799</v>
      </c>
      <c r="K171" s="2">
        <v>0.86</v>
      </c>
      <c r="L171" s="2">
        <v>0.64</v>
      </c>
      <c r="M171">
        <v>56</v>
      </c>
      <c r="N171">
        <v>10</v>
      </c>
      <c r="O171" s="2">
        <v>0.75</v>
      </c>
      <c r="P171" s="9">
        <v>0.21999999999999997</v>
      </c>
    </row>
    <row r="172" spans="1:16" x14ac:dyDescent="0.25">
      <c r="A172">
        <v>20</v>
      </c>
      <c r="B172">
        <v>26438</v>
      </c>
      <c r="C172" t="s">
        <v>44</v>
      </c>
      <c r="D172" t="s">
        <v>70</v>
      </c>
      <c r="E172" t="s">
        <v>69</v>
      </c>
      <c r="F172" t="s">
        <v>21</v>
      </c>
      <c r="G172" s="1">
        <v>41923</v>
      </c>
      <c r="H172" s="1">
        <v>25210</v>
      </c>
      <c r="I172" t="s">
        <v>71</v>
      </c>
      <c r="J172">
        <v>18547</v>
      </c>
      <c r="K172" s="2">
        <v>0.82</v>
      </c>
      <c r="L172" s="2">
        <v>0.65</v>
      </c>
      <c r="M172">
        <v>56</v>
      </c>
      <c r="N172">
        <v>10</v>
      </c>
      <c r="O172" s="2">
        <v>0.73499999999999999</v>
      </c>
      <c r="P172" s="9">
        <v>0.16999999999999993</v>
      </c>
    </row>
    <row r="173" spans="1:16" x14ac:dyDescent="0.25">
      <c r="A173">
        <v>21</v>
      </c>
      <c r="B173">
        <v>31456</v>
      </c>
      <c r="C173" t="s">
        <v>45</v>
      </c>
      <c r="D173" t="s">
        <v>70</v>
      </c>
      <c r="E173" t="s">
        <v>69</v>
      </c>
      <c r="F173" t="s">
        <v>24</v>
      </c>
      <c r="G173" s="1">
        <v>42105</v>
      </c>
      <c r="H173" s="1">
        <v>23312</v>
      </c>
      <c r="I173" t="s">
        <v>71</v>
      </c>
      <c r="J173">
        <v>4649</v>
      </c>
      <c r="K173" s="2">
        <v>0.75</v>
      </c>
      <c r="L173" s="2">
        <v>0.78</v>
      </c>
      <c r="M173">
        <v>61</v>
      </c>
      <c r="N173">
        <v>9</v>
      </c>
      <c r="O173" s="2">
        <v>0.76500000000000001</v>
      </c>
      <c r="P173" s="9">
        <v>-3.0000000000000027E-2</v>
      </c>
    </row>
    <row r="174" spans="1:16" x14ac:dyDescent="0.25">
      <c r="A174">
        <v>22</v>
      </c>
      <c r="B174">
        <v>27141</v>
      </c>
      <c r="C174" t="s">
        <v>55</v>
      </c>
      <c r="D174" t="s">
        <v>70</v>
      </c>
      <c r="E174" t="s">
        <v>69</v>
      </c>
      <c r="F174" t="s">
        <v>15</v>
      </c>
      <c r="G174" s="1">
        <v>42105</v>
      </c>
      <c r="H174" s="1">
        <v>30808</v>
      </c>
      <c r="I174" t="s">
        <v>71</v>
      </c>
      <c r="J174">
        <v>15173</v>
      </c>
      <c r="K174" s="2">
        <v>0.85</v>
      </c>
      <c r="L174" s="2">
        <v>0.96</v>
      </c>
      <c r="M174">
        <v>41</v>
      </c>
      <c r="N174">
        <v>9</v>
      </c>
      <c r="O174" s="2">
        <v>0.90500000000000003</v>
      </c>
      <c r="P174" s="9">
        <v>-0.10999999999999999</v>
      </c>
    </row>
    <row r="175" spans="1:16" x14ac:dyDescent="0.25">
      <c r="A175">
        <v>23</v>
      </c>
      <c r="B175">
        <v>26448</v>
      </c>
      <c r="C175" t="s">
        <v>72</v>
      </c>
      <c r="D175" t="s">
        <v>70</v>
      </c>
      <c r="E175" t="s">
        <v>69</v>
      </c>
      <c r="F175" t="s">
        <v>15</v>
      </c>
      <c r="G175" s="1">
        <v>42469</v>
      </c>
      <c r="H175" s="1">
        <v>30487</v>
      </c>
      <c r="I175" t="s">
        <v>71</v>
      </c>
      <c r="J175">
        <v>18240</v>
      </c>
      <c r="K175" s="2">
        <v>0.89</v>
      </c>
      <c r="L175" s="2">
        <v>0.61</v>
      </c>
      <c r="M175">
        <v>42</v>
      </c>
      <c r="N175">
        <v>8</v>
      </c>
      <c r="O175" s="2">
        <v>0.75</v>
      </c>
      <c r="P175" s="9">
        <v>0.28000000000000003</v>
      </c>
    </row>
    <row r="176" spans="1:16" x14ac:dyDescent="0.25">
      <c r="A176">
        <v>31</v>
      </c>
      <c r="B176">
        <v>26437</v>
      </c>
      <c r="C176" t="s">
        <v>66</v>
      </c>
      <c r="D176" t="s">
        <v>70</v>
      </c>
      <c r="E176" t="s">
        <v>69</v>
      </c>
      <c r="F176" t="s">
        <v>15</v>
      </c>
      <c r="G176" s="1">
        <v>41923</v>
      </c>
      <c r="H176" s="1">
        <v>27988</v>
      </c>
      <c r="I176" t="s">
        <v>71</v>
      </c>
      <c r="J176">
        <v>3445</v>
      </c>
      <c r="K176" s="2">
        <v>0.78</v>
      </c>
      <c r="L176" s="2">
        <v>0.65</v>
      </c>
      <c r="M176">
        <v>48</v>
      </c>
      <c r="N176">
        <v>10</v>
      </c>
      <c r="O176" s="2">
        <v>0.71499999999999997</v>
      </c>
      <c r="P176" s="9">
        <v>0.13</v>
      </c>
    </row>
    <row r="177" spans="1:16" x14ac:dyDescent="0.25">
      <c r="A177">
        <v>32</v>
      </c>
      <c r="B177">
        <v>27960</v>
      </c>
      <c r="C177" t="s">
        <v>46</v>
      </c>
      <c r="D177" t="s">
        <v>70</v>
      </c>
      <c r="E177" t="s">
        <v>69</v>
      </c>
      <c r="F177" t="s">
        <v>24</v>
      </c>
      <c r="G177" s="1">
        <v>42417</v>
      </c>
      <c r="H177" s="1">
        <v>23641</v>
      </c>
      <c r="I177" t="s">
        <v>71</v>
      </c>
      <c r="J177">
        <v>13889</v>
      </c>
      <c r="K177" s="2">
        <v>0.85</v>
      </c>
      <c r="L177" s="2">
        <v>0.61</v>
      </c>
      <c r="M177">
        <v>61</v>
      </c>
      <c r="N177">
        <v>8</v>
      </c>
      <c r="O177" s="2">
        <v>0.73</v>
      </c>
      <c r="P177" s="9">
        <v>0.24</v>
      </c>
    </row>
    <row r="178" spans="1:16" x14ac:dyDescent="0.25">
      <c r="A178">
        <v>37</v>
      </c>
      <c r="B178">
        <v>27003</v>
      </c>
      <c r="C178" t="s">
        <v>56</v>
      </c>
      <c r="D178" t="s">
        <v>70</v>
      </c>
      <c r="E178" t="s">
        <v>69</v>
      </c>
      <c r="F178" t="s">
        <v>15</v>
      </c>
      <c r="G178" s="1">
        <v>43121</v>
      </c>
      <c r="H178" s="1">
        <v>29256</v>
      </c>
      <c r="I178" t="s">
        <v>71</v>
      </c>
      <c r="J178">
        <v>23467</v>
      </c>
      <c r="K178" s="2">
        <v>0.79</v>
      </c>
      <c r="L178" s="2">
        <v>0.95</v>
      </c>
      <c r="M178">
        <v>45</v>
      </c>
      <c r="N178">
        <v>6</v>
      </c>
      <c r="O178" s="2">
        <v>0.87</v>
      </c>
      <c r="P178" s="9">
        <v>-0.15999999999999992</v>
      </c>
    </row>
    <row r="179" spans="1:16" x14ac:dyDescent="0.25">
      <c r="A179">
        <v>38</v>
      </c>
      <c r="B179">
        <v>26440</v>
      </c>
      <c r="C179" t="s">
        <v>73</v>
      </c>
      <c r="D179" t="s">
        <v>70</v>
      </c>
      <c r="E179" t="s">
        <v>69</v>
      </c>
      <c r="F179" t="s">
        <v>24</v>
      </c>
      <c r="G179" s="1">
        <v>43121</v>
      </c>
      <c r="H179" s="1">
        <v>28364</v>
      </c>
      <c r="I179" t="s">
        <v>71</v>
      </c>
      <c r="J179">
        <v>2486</v>
      </c>
      <c r="K179" s="2">
        <v>0.83</v>
      </c>
      <c r="L179" s="2">
        <v>0.67</v>
      </c>
      <c r="M179">
        <v>47</v>
      </c>
      <c r="N179">
        <v>6</v>
      </c>
      <c r="O179" s="2">
        <v>0.75</v>
      </c>
      <c r="P179" s="9">
        <v>0.15999999999999992</v>
      </c>
    </row>
    <row r="180" spans="1:16" x14ac:dyDescent="0.25">
      <c r="A180">
        <v>39</v>
      </c>
      <c r="B180">
        <v>26433</v>
      </c>
      <c r="C180" t="s">
        <v>29</v>
      </c>
      <c r="D180" t="s">
        <v>70</v>
      </c>
      <c r="E180" t="s">
        <v>69</v>
      </c>
      <c r="F180" t="s">
        <v>24</v>
      </c>
      <c r="G180" s="1">
        <v>43121</v>
      </c>
      <c r="H180" s="1">
        <v>23497</v>
      </c>
      <c r="I180" t="s">
        <v>71</v>
      </c>
      <c r="J180">
        <v>9365</v>
      </c>
      <c r="K180" s="2">
        <v>0.84</v>
      </c>
      <c r="L180" s="2">
        <v>0.4</v>
      </c>
      <c r="M180">
        <v>61</v>
      </c>
      <c r="N180">
        <v>6</v>
      </c>
      <c r="O180" s="2">
        <v>0.62</v>
      </c>
      <c r="P180" s="9">
        <v>0.43999999999999995</v>
      </c>
    </row>
    <row r="181" spans="1:16" x14ac:dyDescent="0.25">
      <c r="A181">
        <v>40</v>
      </c>
      <c r="B181">
        <v>31457</v>
      </c>
      <c r="C181" t="s">
        <v>27</v>
      </c>
      <c r="D181" t="s">
        <v>70</v>
      </c>
      <c r="E181" t="s">
        <v>69</v>
      </c>
      <c r="F181" t="s">
        <v>15</v>
      </c>
      <c r="G181" s="1">
        <v>36312</v>
      </c>
      <c r="H181" s="1">
        <v>23532</v>
      </c>
      <c r="I181" t="s">
        <v>71</v>
      </c>
      <c r="J181">
        <v>22438</v>
      </c>
      <c r="K181" s="2">
        <v>0.82</v>
      </c>
      <c r="L181" s="2">
        <v>0.56999999999999995</v>
      </c>
      <c r="M181">
        <v>61</v>
      </c>
      <c r="N181">
        <v>25</v>
      </c>
      <c r="O181" s="2">
        <v>0.69499999999999995</v>
      </c>
      <c r="P181" s="9">
        <v>0.25</v>
      </c>
    </row>
    <row r="182" spans="1:16" x14ac:dyDescent="0.25">
      <c r="A182">
        <v>41</v>
      </c>
      <c r="B182">
        <v>27648</v>
      </c>
      <c r="C182" t="s">
        <v>12</v>
      </c>
      <c r="D182" t="s">
        <v>70</v>
      </c>
      <c r="E182" t="s">
        <v>69</v>
      </c>
      <c r="F182" t="s">
        <v>15</v>
      </c>
      <c r="G182" s="1">
        <v>38115</v>
      </c>
      <c r="H182" s="1">
        <v>32743</v>
      </c>
      <c r="I182" t="s">
        <v>71</v>
      </c>
      <c r="J182">
        <v>20869</v>
      </c>
      <c r="K182" s="2">
        <v>0.77</v>
      </c>
      <c r="L182" s="2">
        <v>0.41</v>
      </c>
      <c r="M182">
        <v>35</v>
      </c>
      <c r="N182">
        <v>20</v>
      </c>
      <c r="O182" s="2">
        <v>0.59</v>
      </c>
      <c r="P182" s="9">
        <v>0.36000000000000004</v>
      </c>
    </row>
    <row r="183" spans="1:16" x14ac:dyDescent="0.25">
      <c r="A183">
        <v>42</v>
      </c>
      <c r="B183">
        <v>27858</v>
      </c>
      <c r="C183" t="s">
        <v>67</v>
      </c>
      <c r="D183" t="s">
        <v>70</v>
      </c>
      <c r="E183" t="s">
        <v>69</v>
      </c>
      <c r="F183" t="s">
        <v>24</v>
      </c>
      <c r="G183" s="1">
        <v>40850</v>
      </c>
      <c r="H183" s="1">
        <v>28621</v>
      </c>
      <c r="I183" t="s">
        <v>71</v>
      </c>
      <c r="J183">
        <v>1428</v>
      </c>
      <c r="K183" s="2">
        <v>0.87</v>
      </c>
      <c r="L183" s="2">
        <v>0.96</v>
      </c>
      <c r="M183">
        <v>47</v>
      </c>
      <c r="N183">
        <v>13</v>
      </c>
      <c r="O183" s="2">
        <v>0.91500000000000004</v>
      </c>
      <c r="P183" s="9">
        <v>-8.9999999999999969E-2</v>
      </c>
    </row>
    <row r="184" spans="1:16" x14ac:dyDescent="0.25">
      <c r="A184">
        <v>43</v>
      </c>
      <c r="B184">
        <v>26444</v>
      </c>
      <c r="C184" t="s">
        <v>32</v>
      </c>
      <c r="D184" t="s">
        <v>70</v>
      </c>
      <c r="E184" t="s">
        <v>69</v>
      </c>
      <c r="F184" t="s">
        <v>15</v>
      </c>
      <c r="G184" s="1">
        <v>35868</v>
      </c>
      <c r="H184" s="1">
        <v>28782</v>
      </c>
      <c r="I184" t="s">
        <v>71</v>
      </c>
      <c r="J184">
        <v>16767</v>
      </c>
      <c r="K184" s="2">
        <v>0.84</v>
      </c>
      <c r="L184" s="2">
        <v>0.69</v>
      </c>
      <c r="M184">
        <v>46</v>
      </c>
      <c r="N184">
        <v>27</v>
      </c>
      <c r="O184" s="2">
        <v>0.76500000000000001</v>
      </c>
      <c r="P184" s="9">
        <v>0.15000000000000002</v>
      </c>
    </row>
    <row r="185" spans="1:16" x14ac:dyDescent="0.25">
      <c r="A185">
        <v>51</v>
      </c>
      <c r="B185">
        <v>28126</v>
      </c>
      <c r="C185" t="s">
        <v>49</v>
      </c>
      <c r="D185" t="s">
        <v>70</v>
      </c>
      <c r="E185" t="s">
        <v>69</v>
      </c>
      <c r="F185" t="s">
        <v>15</v>
      </c>
      <c r="G185" s="1">
        <v>38930</v>
      </c>
      <c r="H185" s="1">
        <v>28166</v>
      </c>
      <c r="I185" t="s">
        <v>71</v>
      </c>
      <c r="J185">
        <v>12122</v>
      </c>
      <c r="K185" s="2">
        <v>0.76</v>
      </c>
      <c r="L185" s="2">
        <v>0.67</v>
      </c>
      <c r="M185">
        <v>48</v>
      </c>
      <c r="N185">
        <v>18</v>
      </c>
      <c r="O185" s="2">
        <v>0.71499999999999997</v>
      </c>
      <c r="P185" s="9">
        <v>8.9999999999999969E-2</v>
      </c>
    </row>
    <row r="186" spans="1:16" x14ac:dyDescent="0.25">
      <c r="A186">
        <v>52</v>
      </c>
      <c r="B186">
        <v>26413</v>
      </c>
      <c r="C186" t="s">
        <v>28</v>
      </c>
      <c r="D186" t="s">
        <v>70</v>
      </c>
      <c r="E186" t="s">
        <v>69</v>
      </c>
      <c r="F186" t="s">
        <v>24</v>
      </c>
      <c r="G186" s="1">
        <v>39144</v>
      </c>
      <c r="H186" s="1">
        <v>25356</v>
      </c>
      <c r="I186" t="s">
        <v>71</v>
      </c>
      <c r="J186">
        <v>24004</v>
      </c>
      <c r="K186" s="2">
        <v>0.81</v>
      </c>
      <c r="L186" s="2">
        <v>0.77</v>
      </c>
      <c r="M186">
        <v>56</v>
      </c>
      <c r="N186">
        <v>17</v>
      </c>
      <c r="O186" s="2">
        <v>0.79</v>
      </c>
      <c r="P186" s="9">
        <v>4.0000000000000036E-2</v>
      </c>
    </row>
    <row r="187" spans="1:16" x14ac:dyDescent="0.25">
      <c r="A187">
        <v>59</v>
      </c>
      <c r="B187">
        <v>26347</v>
      </c>
      <c r="C187" t="s">
        <v>72</v>
      </c>
      <c r="D187" t="s">
        <v>70</v>
      </c>
      <c r="E187" t="s">
        <v>69</v>
      </c>
      <c r="F187" t="s">
        <v>24</v>
      </c>
      <c r="G187" s="1">
        <v>42576</v>
      </c>
      <c r="H187" s="1">
        <v>32599</v>
      </c>
      <c r="I187" t="s">
        <v>71</v>
      </c>
      <c r="J187">
        <v>7329</v>
      </c>
      <c r="K187" s="2">
        <v>0.86</v>
      </c>
      <c r="L187" s="2">
        <v>0.61</v>
      </c>
      <c r="M187">
        <v>36</v>
      </c>
      <c r="N187">
        <v>8</v>
      </c>
      <c r="O187" s="2">
        <v>0.73499999999999999</v>
      </c>
      <c r="P187" s="9">
        <v>0.25</v>
      </c>
    </row>
    <row r="188" spans="1:16" x14ac:dyDescent="0.25">
      <c r="A188">
        <v>60</v>
      </c>
      <c r="B188">
        <v>26430</v>
      </c>
      <c r="C188" t="s">
        <v>63</v>
      </c>
      <c r="D188" t="s">
        <v>70</v>
      </c>
      <c r="E188" t="s">
        <v>69</v>
      </c>
      <c r="F188" t="s">
        <v>24</v>
      </c>
      <c r="G188" s="1">
        <v>41951</v>
      </c>
      <c r="H188" s="1">
        <v>25803</v>
      </c>
      <c r="I188" t="s">
        <v>71</v>
      </c>
      <c r="J188">
        <v>20603</v>
      </c>
      <c r="K188" s="2">
        <v>0.88</v>
      </c>
      <c r="L188" s="2">
        <v>0.76</v>
      </c>
      <c r="M188">
        <v>55</v>
      </c>
      <c r="N188">
        <v>10</v>
      </c>
      <c r="O188" s="2">
        <v>0.82</v>
      </c>
      <c r="P188" s="9">
        <v>0.12</v>
      </c>
    </row>
    <row r="189" spans="1:16" x14ac:dyDescent="0.25">
      <c r="A189">
        <v>72</v>
      </c>
      <c r="B189">
        <v>26991</v>
      </c>
      <c r="C189" t="s">
        <v>73</v>
      </c>
      <c r="D189" t="s">
        <v>70</v>
      </c>
      <c r="E189" t="s">
        <v>69</v>
      </c>
      <c r="F189" t="s">
        <v>15</v>
      </c>
      <c r="G189" s="1">
        <v>40952</v>
      </c>
      <c r="H189" s="1">
        <v>29256</v>
      </c>
      <c r="I189" t="s">
        <v>71</v>
      </c>
      <c r="J189">
        <v>18091</v>
      </c>
      <c r="K189" s="2">
        <v>0.84</v>
      </c>
      <c r="L189" s="2">
        <v>0.91</v>
      </c>
      <c r="M189">
        <v>45</v>
      </c>
      <c r="N189">
        <v>12</v>
      </c>
      <c r="O189" s="2">
        <v>0.875</v>
      </c>
      <c r="P189" s="9">
        <v>-7.0000000000000062E-2</v>
      </c>
    </row>
    <row r="190" spans="1:16" x14ac:dyDescent="0.25">
      <c r="A190">
        <v>73</v>
      </c>
      <c r="B190">
        <v>27618</v>
      </c>
      <c r="C190" t="s">
        <v>29</v>
      </c>
      <c r="D190" t="s">
        <v>70</v>
      </c>
      <c r="E190" t="s">
        <v>69</v>
      </c>
      <c r="F190" t="s">
        <v>15</v>
      </c>
      <c r="G190" s="1">
        <v>42036</v>
      </c>
      <c r="H190" s="1">
        <v>26362</v>
      </c>
      <c r="I190" t="s">
        <v>71</v>
      </c>
      <c r="J190">
        <v>21390</v>
      </c>
      <c r="K190" s="2">
        <v>0.76</v>
      </c>
      <c r="L190" s="2">
        <v>0.89</v>
      </c>
      <c r="M190">
        <v>53</v>
      </c>
      <c r="N190">
        <v>9</v>
      </c>
      <c r="O190" s="2">
        <v>0.82499999999999996</v>
      </c>
      <c r="P190" s="9">
        <v>-0.13</v>
      </c>
    </row>
    <row r="191" spans="1:16" x14ac:dyDescent="0.25">
      <c r="A191">
        <v>78</v>
      </c>
      <c r="B191">
        <v>28166</v>
      </c>
      <c r="C191" t="s">
        <v>36</v>
      </c>
      <c r="D191" t="s">
        <v>70</v>
      </c>
      <c r="E191" t="s">
        <v>69</v>
      </c>
      <c r="F191" t="s">
        <v>24</v>
      </c>
      <c r="G191" s="1">
        <v>42476</v>
      </c>
      <c r="H191" s="1">
        <v>30536</v>
      </c>
      <c r="I191" t="s">
        <v>71</v>
      </c>
      <c r="J191">
        <v>13943</v>
      </c>
      <c r="K191" s="2">
        <v>0.78</v>
      </c>
      <c r="L191" s="2">
        <v>0.78</v>
      </c>
      <c r="M191">
        <v>41</v>
      </c>
      <c r="N191">
        <v>8</v>
      </c>
      <c r="O191" s="2">
        <v>0.78</v>
      </c>
      <c r="P191" s="9">
        <v>0</v>
      </c>
    </row>
    <row r="192" spans="1:16" x14ac:dyDescent="0.25">
      <c r="A192">
        <v>79</v>
      </c>
      <c r="B192">
        <v>27004</v>
      </c>
      <c r="C192" t="s">
        <v>52</v>
      </c>
      <c r="D192" t="s">
        <v>70</v>
      </c>
      <c r="E192" t="s">
        <v>69</v>
      </c>
      <c r="F192" t="s">
        <v>24</v>
      </c>
      <c r="G192" s="1">
        <v>35217</v>
      </c>
      <c r="H192" s="1">
        <v>28157</v>
      </c>
      <c r="I192" t="s">
        <v>71</v>
      </c>
      <c r="J192">
        <v>9011</v>
      </c>
      <c r="K192" s="2">
        <v>0.79</v>
      </c>
      <c r="L192" s="2">
        <v>0.46</v>
      </c>
      <c r="M192">
        <v>48</v>
      </c>
      <c r="N192">
        <v>28</v>
      </c>
      <c r="O192" s="2">
        <v>0.625</v>
      </c>
      <c r="P192" s="9">
        <v>0.33</v>
      </c>
    </row>
    <row r="193" spans="1:16" x14ac:dyDescent="0.25">
      <c r="A193">
        <v>80</v>
      </c>
      <c r="B193">
        <v>27649</v>
      </c>
      <c r="C193" t="s">
        <v>40</v>
      </c>
      <c r="D193" t="s">
        <v>70</v>
      </c>
      <c r="E193" t="s">
        <v>69</v>
      </c>
      <c r="F193" t="s">
        <v>24</v>
      </c>
      <c r="G193" s="1">
        <v>35389</v>
      </c>
      <c r="H193" s="1">
        <v>28970</v>
      </c>
      <c r="I193" t="s">
        <v>71</v>
      </c>
      <c r="J193">
        <v>5390</v>
      </c>
      <c r="K193" s="2">
        <v>0.81</v>
      </c>
      <c r="L193" s="2">
        <v>0.4</v>
      </c>
      <c r="M193">
        <v>46</v>
      </c>
      <c r="N193">
        <v>28</v>
      </c>
      <c r="O193" s="2">
        <v>0.60499999999999998</v>
      </c>
      <c r="P193" s="9">
        <v>0.41000000000000003</v>
      </c>
    </row>
    <row r="194" spans="1:16" x14ac:dyDescent="0.25">
      <c r="A194">
        <v>81</v>
      </c>
      <c r="B194">
        <v>26998</v>
      </c>
      <c r="C194" t="s">
        <v>41</v>
      </c>
      <c r="D194" t="s">
        <v>70</v>
      </c>
      <c r="E194" t="s">
        <v>69</v>
      </c>
      <c r="F194" t="s">
        <v>24</v>
      </c>
      <c r="G194" s="1">
        <v>35966</v>
      </c>
      <c r="H194" s="1">
        <v>27774</v>
      </c>
      <c r="I194" t="s">
        <v>71</v>
      </c>
      <c r="J194">
        <v>19015</v>
      </c>
      <c r="K194" s="2">
        <v>0.84</v>
      </c>
      <c r="L194" s="2">
        <v>0.65</v>
      </c>
      <c r="M194">
        <v>49</v>
      </c>
      <c r="N194">
        <v>26</v>
      </c>
      <c r="O194" s="2">
        <v>0.745</v>
      </c>
      <c r="P194" s="9">
        <v>0.18999999999999995</v>
      </c>
    </row>
    <row r="195" spans="1:16" x14ac:dyDescent="0.25">
      <c r="A195">
        <v>82</v>
      </c>
      <c r="B195">
        <v>31455</v>
      </c>
      <c r="C195" t="s">
        <v>17</v>
      </c>
      <c r="D195" t="s">
        <v>70</v>
      </c>
      <c r="E195" t="s">
        <v>69</v>
      </c>
      <c r="F195" t="s">
        <v>21</v>
      </c>
      <c r="G195" s="1">
        <v>36904</v>
      </c>
      <c r="H195" s="1">
        <v>29124</v>
      </c>
      <c r="I195" t="s">
        <v>71</v>
      </c>
      <c r="J195">
        <v>8138</v>
      </c>
      <c r="K195" s="2">
        <v>0.82</v>
      </c>
      <c r="L195" s="2">
        <v>0.83</v>
      </c>
      <c r="M195">
        <v>45</v>
      </c>
      <c r="N195">
        <v>24</v>
      </c>
      <c r="O195" s="2">
        <v>0.82499999999999996</v>
      </c>
      <c r="P195" s="9">
        <v>-1.0000000000000009E-2</v>
      </c>
    </row>
    <row r="196" spans="1:16" x14ac:dyDescent="0.25">
      <c r="A196">
        <v>89</v>
      </c>
      <c r="B196">
        <v>26425</v>
      </c>
      <c r="C196" t="s">
        <v>43</v>
      </c>
      <c r="D196" t="s">
        <v>70</v>
      </c>
      <c r="E196" t="s">
        <v>69</v>
      </c>
      <c r="F196" t="s">
        <v>21</v>
      </c>
      <c r="G196" s="1">
        <v>41191</v>
      </c>
      <c r="H196" s="1">
        <v>26439</v>
      </c>
      <c r="I196" t="s">
        <v>71</v>
      </c>
      <c r="J196">
        <v>5061</v>
      </c>
      <c r="K196" s="2">
        <v>0.75</v>
      </c>
      <c r="L196" s="2">
        <v>0.67</v>
      </c>
      <c r="M196">
        <v>53</v>
      </c>
      <c r="N196">
        <v>12</v>
      </c>
      <c r="O196" s="2">
        <v>0.71</v>
      </c>
      <c r="P196" s="9">
        <v>7.999999999999996E-2</v>
      </c>
    </row>
    <row r="197" spans="1:16" x14ac:dyDescent="0.25">
      <c r="A197">
        <v>90</v>
      </c>
      <c r="B197">
        <v>26421</v>
      </c>
      <c r="C197" t="s">
        <v>44</v>
      </c>
      <c r="D197" t="s">
        <v>70</v>
      </c>
      <c r="E197" t="s">
        <v>69</v>
      </c>
      <c r="F197" t="s">
        <v>15</v>
      </c>
      <c r="G197" s="1">
        <v>41378</v>
      </c>
      <c r="H197" s="1">
        <v>26992</v>
      </c>
      <c r="I197" t="s">
        <v>71</v>
      </c>
      <c r="J197">
        <v>8005</v>
      </c>
      <c r="K197" s="2">
        <v>0.85</v>
      </c>
      <c r="L197" s="2">
        <v>0.75</v>
      </c>
      <c r="M197">
        <v>51</v>
      </c>
      <c r="N197">
        <v>11</v>
      </c>
      <c r="O197" s="2">
        <v>0.8</v>
      </c>
      <c r="P197" s="9">
        <v>9.9999999999999978E-2</v>
      </c>
    </row>
    <row r="198" spans="1:16" x14ac:dyDescent="0.25">
      <c r="A198">
        <v>91</v>
      </c>
      <c r="B198">
        <v>26419</v>
      </c>
      <c r="C198" t="s">
        <v>45</v>
      </c>
      <c r="D198" t="s">
        <v>70</v>
      </c>
      <c r="E198" t="s">
        <v>69</v>
      </c>
      <c r="F198" t="s">
        <v>24</v>
      </c>
      <c r="G198" s="1">
        <v>41594</v>
      </c>
      <c r="H198" s="1">
        <v>25655</v>
      </c>
      <c r="I198" t="s">
        <v>71</v>
      </c>
      <c r="J198">
        <v>7002</v>
      </c>
      <c r="K198" s="2">
        <v>0.87</v>
      </c>
      <c r="L198" s="2">
        <v>0.6</v>
      </c>
      <c r="M198">
        <v>55</v>
      </c>
      <c r="N198">
        <v>11</v>
      </c>
      <c r="O198" s="2">
        <v>0.73499999999999999</v>
      </c>
      <c r="P198" s="9">
        <v>0.27</v>
      </c>
    </row>
    <row r="199" spans="1:16" x14ac:dyDescent="0.25">
      <c r="A199">
        <v>92</v>
      </c>
      <c r="B199">
        <v>28927</v>
      </c>
      <c r="C199" t="s">
        <v>55</v>
      </c>
      <c r="D199" t="s">
        <v>70</v>
      </c>
      <c r="E199" t="s">
        <v>69</v>
      </c>
      <c r="F199" t="s">
        <v>15</v>
      </c>
      <c r="G199" s="1">
        <v>41730</v>
      </c>
      <c r="H199" s="1">
        <v>25254</v>
      </c>
      <c r="I199" t="s">
        <v>71</v>
      </c>
      <c r="J199">
        <v>23284</v>
      </c>
      <c r="K199" s="2">
        <v>0.75</v>
      </c>
      <c r="L199" s="2">
        <v>0.84</v>
      </c>
      <c r="M199">
        <v>56</v>
      </c>
      <c r="N199">
        <v>10</v>
      </c>
      <c r="O199" s="2">
        <v>0.79500000000000004</v>
      </c>
      <c r="P199" s="9">
        <v>-8.9999999999999969E-2</v>
      </c>
    </row>
    <row r="200" spans="1:16" x14ac:dyDescent="0.25">
      <c r="A200">
        <v>93</v>
      </c>
      <c r="B200">
        <v>26748</v>
      </c>
      <c r="C200" t="s">
        <v>72</v>
      </c>
      <c r="D200" t="s">
        <v>70</v>
      </c>
      <c r="E200" t="s">
        <v>69</v>
      </c>
      <c r="F200" t="s">
        <v>15</v>
      </c>
      <c r="G200" s="1">
        <v>41771</v>
      </c>
      <c r="H200" s="1">
        <v>29985</v>
      </c>
      <c r="I200" t="s">
        <v>71</v>
      </c>
      <c r="J200">
        <v>20019</v>
      </c>
      <c r="K200" s="2">
        <v>0.89</v>
      </c>
      <c r="L200" s="2">
        <v>0.78</v>
      </c>
      <c r="M200">
        <v>43</v>
      </c>
      <c r="N200">
        <v>10</v>
      </c>
      <c r="O200" s="2">
        <v>0.83499999999999996</v>
      </c>
      <c r="P200" s="9">
        <v>0.10999999999999999</v>
      </c>
    </row>
    <row r="201" spans="1:16" x14ac:dyDescent="0.25">
      <c r="A201">
        <v>94</v>
      </c>
      <c r="B201">
        <v>27494</v>
      </c>
      <c r="C201" t="s">
        <v>63</v>
      </c>
      <c r="D201" t="s">
        <v>70</v>
      </c>
      <c r="E201" t="s">
        <v>69</v>
      </c>
      <c r="F201" t="s">
        <v>24</v>
      </c>
      <c r="G201" s="1">
        <v>41771</v>
      </c>
      <c r="H201" s="1">
        <v>28792</v>
      </c>
      <c r="I201" t="s">
        <v>71</v>
      </c>
      <c r="J201">
        <v>11645</v>
      </c>
      <c r="K201" s="2">
        <v>0.8</v>
      </c>
      <c r="L201" s="2">
        <v>0.62</v>
      </c>
      <c r="M201">
        <v>46</v>
      </c>
      <c r="N201">
        <v>10</v>
      </c>
      <c r="O201" s="2">
        <v>0.71</v>
      </c>
      <c r="P201" s="9">
        <v>0.18000000000000005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52112-67FE-47A4-96DD-76E6B40F03E6}">
  <dimension ref="A1:A23"/>
  <sheetViews>
    <sheetView showGridLines="0" showRowColHeaders="0" workbookViewId="0">
      <selection sqref="A1:A23"/>
    </sheetView>
  </sheetViews>
  <sheetFormatPr defaultRowHeight="15" x14ac:dyDescent="0.25"/>
  <cols>
    <col min="1" max="1" width="179.85546875" bestFit="1" customWidth="1"/>
  </cols>
  <sheetData>
    <row r="1" spans="1:1" ht="15.75" x14ac:dyDescent="0.25">
      <c r="A1" s="14" t="s">
        <v>100</v>
      </c>
    </row>
    <row r="2" spans="1:1" x14ac:dyDescent="0.25">
      <c r="A2" s="12"/>
    </row>
    <row r="3" spans="1:1" x14ac:dyDescent="0.25">
      <c r="A3" s="13" t="s">
        <v>101</v>
      </c>
    </row>
    <row r="4" spans="1:1" x14ac:dyDescent="0.25">
      <c r="A4" s="12"/>
    </row>
    <row r="5" spans="1:1" x14ac:dyDescent="0.25">
      <c r="A5" s="13" t="s">
        <v>102</v>
      </c>
    </row>
    <row r="6" spans="1:1" x14ac:dyDescent="0.25">
      <c r="A6" s="12"/>
    </row>
    <row r="7" spans="1:1" x14ac:dyDescent="0.25">
      <c r="A7" s="13" t="s">
        <v>103</v>
      </c>
    </row>
    <row r="9" spans="1:1" ht="15.75" x14ac:dyDescent="0.25">
      <c r="A9" s="14" t="s">
        <v>104</v>
      </c>
    </row>
    <row r="10" spans="1:1" x14ac:dyDescent="0.25">
      <c r="A10" s="12"/>
    </row>
    <row r="11" spans="1:1" x14ac:dyDescent="0.25">
      <c r="A11" s="13" t="s">
        <v>105</v>
      </c>
    </row>
    <row r="12" spans="1:1" x14ac:dyDescent="0.25">
      <c r="A12" s="12"/>
    </row>
    <row r="13" spans="1:1" x14ac:dyDescent="0.25">
      <c r="A13" s="13" t="s">
        <v>106</v>
      </c>
    </row>
    <row r="14" spans="1:1" x14ac:dyDescent="0.25">
      <c r="A14" s="12"/>
    </row>
    <row r="15" spans="1:1" x14ac:dyDescent="0.25">
      <c r="A15" s="13" t="s">
        <v>107</v>
      </c>
    </row>
    <row r="17" spans="1:1" ht="15.75" x14ac:dyDescent="0.25">
      <c r="A17" s="14" t="s">
        <v>108</v>
      </c>
    </row>
    <row r="18" spans="1:1" x14ac:dyDescent="0.25">
      <c r="A18" s="12"/>
    </row>
    <row r="19" spans="1:1" x14ac:dyDescent="0.25">
      <c r="A19" s="13" t="s">
        <v>109</v>
      </c>
    </row>
    <row r="20" spans="1:1" x14ac:dyDescent="0.25">
      <c r="A20" s="12"/>
    </row>
    <row r="21" spans="1:1" x14ac:dyDescent="0.25">
      <c r="A21" s="13" t="s">
        <v>110</v>
      </c>
    </row>
    <row r="22" spans="1:1" x14ac:dyDescent="0.25">
      <c r="A22" s="12"/>
    </row>
    <row r="23" spans="1:1" x14ac:dyDescent="0.25">
      <c r="A23" s="13" t="s">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ABA5E-8B88-488D-B50D-26332D6FD098}">
  <dimension ref="A1:O40"/>
  <sheetViews>
    <sheetView showGridLines="0" zoomScale="85" zoomScaleNormal="85" workbookViewId="0">
      <selection activeCell="F5" sqref="F5"/>
    </sheetView>
  </sheetViews>
  <sheetFormatPr defaultRowHeight="15" x14ac:dyDescent="0.25"/>
  <cols>
    <col min="1" max="1" width="26" bestFit="1" customWidth="1"/>
    <col min="2" max="2" width="19" bestFit="1" customWidth="1"/>
    <col min="3" max="3" width="26" bestFit="1" customWidth="1"/>
    <col min="4" max="4" width="19" bestFit="1" customWidth="1"/>
    <col min="5" max="5" width="25" bestFit="1" customWidth="1"/>
    <col min="6" max="6" width="15.85546875" bestFit="1" customWidth="1"/>
    <col min="7" max="7" width="11.85546875" bestFit="1" customWidth="1"/>
    <col min="8" max="8" width="15.7109375" bestFit="1" customWidth="1"/>
    <col min="9" max="9" width="13.140625" bestFit="1" customWidth="1"/>
    <col min="10" max="10" width="23.85546875" bestFit="1" customWidth="1"/>
    <col min="11" max="11" width="23.85546875" customWidth="1"/>
    <col min="12" max="12" width="32.140625" bestFit="1" customWidth="1"/>
    <col min="13" max="13" width="12.140625" bestFit="1" customWidth="1"/>
    <col min="14" max="14" width="31.85546875" bestFit="1" customWidth="1"/>
    <col min="15" max="15" width="18.85546875" bestFit="1" customWidth="1"/>
  </cols>
  <sheetData>
    <row r="1" spans="1:15" x14ac:dyDescent="0.25">
      <c r="A1" s="3" t="s">
        <v>80</v>
      </c>
      <c r="B1" t="s">
        <v>79</v>
      </c>
      <c r="C1" s="3" t="s">
        <v>81</v>
      </c>
      <c r="D1" t="s">
        <v>82</v>
      </c>
      <c r="E1" s="3" t="s">
        <v>83</v>
      </c>
      <c r="F1" t="s">
        <v>84</v>
      </c>
      <c r="I1" s="3" t="s">
        <v>91</v>
      </c>
      <c r="J1" t="s">
        <v>90</v>
      </c>
      <c r="L1" s="6" t="s">
        <v>92</v>
      </c>
      <c r="M1" t="s">
        <v>85</v>
      </c>
      <c r="N1" s="6" t="s">
        <v>93</v>
      </c>
      <c r="O1" t="s">
        <v>90</v>
      </c>
    </row>
    <row r="2" spans="1:15" x14ac:dyDescent="0.25">
      <c r="A2" s="4" t="s">
        <v>72</v>
      </c>
      <c r="B2" s="5">
        <v>0.88</v>
      </c>
      <c r="C2" s="4" t="s">
        <v>62</v>
      </c>
      <c r="D2" s="5">
        <v>0.87</v>
      </c>
      <c r="E2" s="4" t="s">
        <v>24</v>
      </c>
      <c r="F2" s="5">
        <v>0.15956521739130433</v>
      </c>
      <c r="H2" s="5"/>
      <c r="I2" s="4" t="s">
        <v>24</v>
      </c>
      <c r="J2">
        <v>92</v>
      </c>
      <c r="L2" s="4" t="s">
        <v>18</v>
      </c>
      <c r="M2">
        <v>226494</v>
      </c>
      <c r="N2" s="4" t="s">
        <v>18</v>
      </c>
      <c r="O2">
        <v>18</v>
      </c>
    </row>
    <row r="3" spans="1:15" x14ac:dyDescent="0.25">
      <c r="A3" s="4" t="s">
        <v>62</v>
      </c>
      <c r="B3" s="5">
        <v>0.87</v>
      </c>
      <c r="C3" s="4" t="s">
        <v>57</v>
      </c>
      <c r="D3" s="5">
        <v>0.87</v>
      </c>
      <c r="E3" s="4" t="s">
        <v>21</v>
      </c>
      <c r="F3" s="5">
        <v>8.7777777777777788E-2</v>
      </c>
      <c r="H3" s="5"/>
      <c r="I3" s="4" t="s">
        <v>15</v>
      </c>
      <c r="J3">
        <v>72</v>
      </c>
      <c r="L3" s="7" t="s">
        <v>24</v>
      </c>
      <c r="M3">
        <v>80668</v>
      </c>
      <c r="N3" s="7" t="s">
        <v>24</v>
      </c>
      <c r="O3">
        <v>4</v>
      </c>
    </row>
    <row r="4" spans="1:15" x14ac:dyDescent="0.25">
      <c r="A4" s="4" t="s">
        <v>67</v>
      </c>
      <c r="B4" s="5">
        <v>0.87</v>
      </c>
      <c r="C4" s="4" t="s">
        <v>39</v>
      </c>
      <c r="D4" s="5">
        <v>0.84499999999999997</v>
      </c>
      <c r="E4" s="4" t="s">
        <v>15</v>
      </c>
      <c r="F4" s="5">
        <v>4.7222222222222242E-2</v>
      </c>
      <c r="H4" s="5"/>
      <c r="I4" s="4" t="s">
        <v>21</v>
      </c>
      <c r="J4">
        <v>36</v>
      </c>
      <c r="L4" s="7" t="s">
        <v>15</v>
      </c>
      <c r="M4">
        <v>64040</v>
      </c>
      <c r="N4" s="7" t="s">
        <v>15</v>
      </c>
      <c r="O4">
        <v>6</v>
      </c>
    </row>
    <row r="5" spans="1:15" x14ac:dyDescent="0.25">
      <c r="A5" s="4" t="s">
        <v>32</v>
      </c>
      <c r="B5" s="5">
        <v>0.86333333333333329</v>
      </c>
      <c r="C5" s="4" t="s">
        <v>27</v>
      </c>
      <c r="D5" s="5">
        <v>0.83500000000000008</v>
      </c>
      <c r="E5" s="4" t="s">
        <v>78</v>
      </c>
      <c r="F5" s="5">
        <v>0.10619999999999989</v>
      </c>
      <c r="H5" s="5"/>
      <c r="I5" s="4" t="s">
        <v>78</v>
      </c>
      <c r="J5">
        <v>200</v>
      </c>
      <c r="L5" s="7" t="s">
        <v>21</v>
      </c>
      <c r="M5">
        <v>81786</v>
      </c>
      <c r="N5" s="7" t="s">
        <v>21</v>
      </c>
      <c r="O5">
        <v>8</v>
      </c>
    </row>
    <row r="6" spans="1:15" x14ac:dyDescent="0.25">
      <c r="A6" s="4" t="s">
        <v>57</v>
      </c>
      <c r="B6" s="5">
        <v>0.86</v>
      </c>
      <c r="C6" s="4" t="s">
        <v>55</v>
      </c>
      <c r="D6" s="5">
        <v>0.83</v>
      </c>
      <c r="E6" s="4"/>
      <c r="F6" s="5"/>
      <c r="H6" s="5"/>
      <c r="L6" s="4" t="s">
        <v>60</v>
      </c>
      <c r="M6">
        <v>135436</v>
      </c>
      <c r="N6" s="4" t="s">
        <v>60</v>
      </c>
      <c r="O6">
        <v>10</v>
      </c>
    </row>
    <row r="7" spans="1:15" x14ac:dyDescent="0.25">
      <c r="A7" s="4" t="s">
        <v>39</v>
      </c>
      <c r="B7" s="5">
        <v>0.85</v>
      </c>
      <c r="C7" s="4" t="s">
        <v>54</v>
      </c>
      <c r="D7" s="5">
        <v>0.82</v>
      </c>
      <c r="E7" s="4"/>
      <c r="F7" s="5"/>
      <c r="H7" s="5"/>
      <c r="L7" s="4" t="s">
        <v>13</v>
      </c>
      <c r="M7">
        <v>53040</v>
      </c>
      <c r="N7" s="4" t="s">
        <v>13</v>
      </c>
      <c r="O7">
        <v>2</v>
      </c>
    </row>
    <row r="8" spans="1:15" x14ac:dyDescent="0.25">
      <c r="A8" s="4" t="s">
        <v>36</v>
      </c>
      <c r="B8" s="5">
        <v>0.84</v>
      </c>
      <c r="C8" s="4" t="s">
        <v>42</v>
      </c>
      <c r="D8" s="5">
        <v>0.80666666666666664</v>
      </c>
      <c r="E8" s="3" t="s">
        <v>89</v>
      </c>
      <c r="F8" t="s">
        <v>85</v>
      </c>
      <c r="I8" s="3" t="s">
        <v>95</v>
      </c>
      <c r="J8" t="s">
        <v>96</v>
      </c>
      <c r="L8" s="4" t="s">
        <v>37</v>
      </c>
      <c r="M8">
        <v>146120</v>
      </c>
      <c r="N8" s="4" t="s">
        <v>37</v>
      </c>
      <c r="O8">
        <v>12</v>
      </c>
    </row>
    <row r="9" spans="1:15" x14ac:dyDescent="0.25">
      <c r="A9" s="4" t="s">
        <v>63</v>
      </c>
      <c r="B9" s="5">
        <v>0.84</v>
      </c>
      <c r="C9" s="4" t="s">
        <v>48</v>
      </c>
      <c r="D9" s="5">
        <v>0.80249999999999988</v>
      </c>
      <c r="E9" s="4" t="s">
        <v>24</v>
      </c>
      <c r="F9">
        <v>1229988</v>
      </c>
      <c r="I9" s="4" t="s">
        <v>24</v>
      </c>
      <c r="J9" s="8">
        <v>51.369565217391305</v>
      </c>
      <c r="K9" s="8"/>
      <c r="L9" s="4" t="s">
        <v>30</v>
      </c>
      <c r="M9">
        <v>41000</v>
      </c>
      <c r="N9" s="4" t="s">
        <v>30</v>
      </c>
      <c r="O9">
        <v>2</v>
      </c>
    </row>
    <row r="10" spans="1:15" x14ac:dyDescent="0.25">
      <c r="A10" s="4" t="s">
        <v>46</v>
      </c>
      <c r="B10" s="5">
        <v>0.83499999999999996</v>
      </c>
      <c r="C10" s="4" t="s">
        <v>49</v>
      </c>
      <c r="D10" s="5">
        <v>0.79333333333333333</v>
      </c>
      <c r="E10" s="4" t="s">
        <v>15</v>
      </c>
      <c r="F10">
        <v>971280</v>
      </c>
      <c r="I10" s="4" t="s">
        <v>15</v>
      </c>
      <c r="J10" s="8">
        <v>50.666666666666664</v>
      </c>
      <c r="K10" s="8"/>
      <c r="L10" s="4" t="s">
        <v>33</v>
      </c>
      <c r="M10">
        <v>126840</v>
      </c>
      <c r="N10" s="4" t="s">
        <v>33</v>
      </c>
      <c r="O10">
        <v>12</v>
      </c>
    </row>
    <row r="11" spans="1:15" x14ac:dyDescent="0.25">
      <c r="A11" s="4" t="s">
        <v>73</v>
      </c>
      <c r="B11" s="5">
        <v>0.83499999999999996</v>
      </c>
      <c r="C11" s="4" t="s">
        <v>73</v>
      </c>
      <c r="D11" s="5">
        <v>0.79</v>
      </c>
      <c r="E11" s="4" t="s">
        <v>21</v>
      </c>
      <c r="F11">
        <v>433056</v>
      </c>
      <c r="I11" s="4" t="s">
        <v>21</v>
      </c>
      <c r="J11" s="8">
        <v>49.722222222222221</v>
      </c>
      <c r="K11" s="8"/>
      <c r="L11" s="4" t="s">
        <v>50</v>
      </c>
      <c r="M11">
        <v>100000</v>
      </c>
      <c r="N11" s="4" t="s">
        <v>50</v>
      </c>
      <c r="O11">
        <v>4</v>
      </c>
    </row>
    <row r="12" spans="1:15" x14ac:dyDescent="0.25">
      <c r="A12" s="4" t="s">
        <v>47</v>
      </c>
      <c r="B12" s="5">
        <v>0.83</v>
      </c>
      <c r="C12" s="4" t="s">
        <v>66</v>
      </c>
      <c r="D12" s="5">
        <v>0.78</v>
      </c>
      <c r="E12" s="4" t="s">
        <v>78</v>
      </c>
      <c r="F12">
        <v>2634324</v>
      </c>
      <c r="I12" s="4" t="s">
        <v>78</v>
      </c>
      <c r="J12" s="8">
        <v>50.82</v>
      </c>
      <c r="K12" s="8"/>
      <c r="L12" s="4" t="s">
        <v>58</v>
      </c>
      <c r="M12">
        <v>43150</v>
      </c>
      <c r="N12" s="4" t="s">
        <v>58</v>
      </c>
      <c r="O12">
        <v>2</v>
      </c>
    </row>
    <row r="13" spans="1:15" x14ac:dyDescent="0.25">
      <c r="A13" s="4" t="s">
        <v>64</v>
      </c>
      <c r="B13" s="5">
        <v>0.83</v>
      </c>
      <c r="C13" s="4" t="s">
        <v>44</v>
      </c>
      <c r="D13" s="5">
        <v>0.76333333333333331</v>
      </c>
      <c r="E13" s="4"/>
      <c r="L13" s="4" t="s">
        <v>61</v>
      </c>
      <c r="M13">
        <v>351578</v>
      </c>
      <c r="N13" s="4" t="s">
        <v>61</v>
      </c>
      <c r="O13">
        <v>24</v>
      </c>
    </row>
    <row r="14" spans="1:15" x14ac:dyDescent="0.25">
      <c r="A14" s="4" t="s">
        <v>43</v>
      </c>
      <c r="B14" s="5">
        <v>0.82666666666666666</v>
      </c>
      <c r="C14" s="4" t="s">
        <v>56</v>
      </c>
      <c r="D14" s="5">
        <v>0.74333333333333329</v>
      </c>
      <c r="E14" s="4"/>
      <c r="L14" s="4" t="s">
        <v>35</v>
      </c>
      <c r="M14">
        <v>215990</v>
      </c>
      <c r="N14" s="4" t="s">
        <v>35</v>
      </c>
      <c r="O14">
        <v>20</v>
      </c>
    </row>
    <row r="15" spans="1:15" x14ac:dyDescent="0.25">
      <c r="A15" s="4" t="s">
        <v>20</v>
      </c>
      <c r="B15" s="5">
        <v>0.82666666666666666</v>
      </c>
      <c r="C15" s="4" t="s">
        <v>45</v>
      </c>
      <c r="D15" s="5">
        <v>0.74333333333333329</v>
      </c>
      <c r="E15" s="3" t="s">
        <v>99</v>
      </c>
      <c r="F15" t="s">
        <v>86</v>
      </c>
      <c r="G15" t="s">
        <v>87</v>
      </c>
      <c r="H15" t="s">
        <v>88</v>
      </c>
      <c r="I15" s="3" t="s">
        <v>95</v>
      </c>
      <c r="J15" t="s">
        <v>97</v>
      </c>
      <c r="L15" s="4" t="s">
        <v>68</v>
      </c>
      <c r="M15">
        <v>70000</v>
      </c>
      <c r="N15" s="4" t="s">
        <v>68</v>
      </c>
      <c r="O15">
        <v>2</v>
      </c>
    </row>
    <row r="16" spans="1:15" x14ac:dyDescent="0.25">
      <c r="A16" s="4" t="s">
        <v>22</v>
      </c>
      <c r="B16" s="5">
        <v>0.82000000000000006</v>
      </c>
      <c r="C16" s="4" t="s">
        <v>63</v>
      </c>
      <c r="D16" s="5">
        <v>0.7400000000000001</v>
      </c>
      <c r="E16" s="4" t="s">
        <v>24</v>
      </c>
      <c r="F16">
        <v>24472</v>
      </c>
      <c r="G16">
        <v>1428</v>
      </c>
      <c r="H16">
        <v>13369.434782608696</v>
      </c>
      <c r="I16" s="4" t="s">
        <v>24</v>
      </c>
      <c r="J16" s="8">
        <v>14.695652173913043</v>
      </c>
      <c r="K16" s="8"/>
      <c r="L16" s="4" t="s">
        <v>70</v>
      </c>
      <c r="M16">
        <v>950340</v>
      </c>
      <c r="N16" s="4" t="s">
        <v>70</v>
      </c>
      <c r="O16">
        <v>72</v>
      </c>
    </row>
    <row r="17" spans="1:15" x14ac:dyDescent="0.25">
      <c r="A17" s="4" t="s">
        <v>27</v>
      </c>
      <c r="B17" s="5">
        <v>0.82</v>
      </c>
      <c r="C17" s="4" t="s">
        <v>17</v>
      </c>
      <c r="D17" s="5">
        <v>0.73666666666666669</v>
      </c>
      <c r="E17" s="4" t="s">
        <v>15</v>
      </c>
      <c r="F17">
        <v>35000</v>
      </c>
      <c r="G17">
        <v>1673</v>
      </c>
      <c r="H17">
        <v>13490</v>
      </c>
      <c r="I17" s="4" t="s">
        <v>15</v>
      </c>
      <c r="J17" s="8">
        <v>13.138888888888889</v>
      </c>
      <c r="K17" s="8"/>
      <c r="L17" s="4" t="s">
        <v>53</v>
      </c>
      <c r="M17">
        <v>174336</v>
      </c>
      <c r="N17" s="4" t="s">
        <v>53</v>
      </c>
      <c r="O17">
        <v>20</v>
      </c>
    </row>
    <row r="18" spans="1:15" x14ac:dyDescent="0.25">
      <c r="A18" s="4" t="s">
        <v>52</v>
      </c>
      <c r="B18" s="5">
        <v>0.81750000000000012</v>
      </c>
      <c r="C18" s="4" t="s">
        <v>52</v>
      </c>
      <c r="D18" s="5">
        <v>0.73499999999999999</v>
      </c>
      <c r="E18" s="4" t="s">
        <v>21</v>
      </c>
      <c r="F18">
        <v>25000</v>
      </c>
      <c r="G18">
        <v>1952</v>
      </c>
      <c r="H18">
        <v>12029.333333333334</v>
      </c>
      <c r="I18" s="4" t="s">
        <v>21</v>
      </c>
      <c r="J18" s="8">
        <v>13.222222222222221</v>
      </c>
      <c r="K18" s="8"/>
      <c r="L18" s="4" t="s">
        <v>78</v>
      </c>
      <c r="M18">
        <v>2634324</v>
      </c>
      <c r="N18" s="4" t="s">
        <v>78</v>
      </c>
      <c r="O18">
        <v>200</v>
      </c>
    </row>
    <row r="19" spans="1:15" x14ac:dyDescent="0.25">
      <c r="A19" s="4" t="s">
        <v>17</v>
      </c>
      <c r="B19" s="5">
        <v>0.81666666666666676</v>
      </c>
      <c r="C19" s="4" t="s">
        <v>29</v>
      </c>
      <c r="D19" s="5">
        <v>0.71666666666666667</v>
      </c>
      <c r="E19" s="4" t="s">
        <v>78</v>
      </c>
      <c r="F19">
        <v>35000</v>
      </c>
      <c r="G19">
        <v>1428</v>
      </c>
      <c r="H19">
        <v>13171.62</v>
      </c>
      <c r="I19" s="4" t="s">
        <v>78</v>
      </c>
      <c r="J19" s="8">
        <v>13.87</v>
      </c>
      <c r="K19" s="8"/>
    </row>
    <row r="20" spans="1:15" x14ac:dyDescent="0.25">
      <c r="A20" s="4" t="s">
        <v>25</v>
      </c>
      <c r="B20" s="5">
        <v>0.81499999999999995</v>
      </c>
      <c r="C20" s="4" t="s">
        <v>43</v>
      </c>
      <c r="D20" s="5">
        <v>0.71333333333333337</v>
      </c>
    </row>
    <row r="21" spans="1:15" x14ac:dyDescent="0.25">
      <c r="A21" s="4" t="s">
        <v>55</v>
      </c>
      <c r="B21" s="5">
        <v>0.81499999999999995</v>
      </c>
      <c r="C21" s="4" t="s">
        <v>67</v>
      </c>
      <c r="D21" s="5">
        <v>0.71333333333333337</v>
      </c>
      <c r="E21" s="3" t="s">
        <v>94</v>
      </c>
      <c r="F21" s="3" t="s">
        <v>98</v>
      </c>
    </row>
    <row r="22" spans="1:15" x14ac:dyDescent="0.25">
      <c r="A22" s="4" t="s">
        <v>28</v>
      </c>
      <c r="B22" s="5">
        <v>0.81333333333333346</v>
      </c>
      <c r="C22" s="4" t="s">
        <v>20</v>
      </c>
      <c r="D22" s="5">
        <v>0.71</v>
      </c>
      <c r="E22" s="3" t="s">
        <v>94</v>
      </c>
      <c r="F22" t="s">
        <v>19</v>
      </c>
      <c r="G22" t="s">
        <v>71</v>
      </c>
      <c r="H22" t="s">
        <v>16</v>
      </c>
      <c r="I22" t="s">
        <v>78</v>
      </c>
    </row>
    <row r="23" spans="1:15" x14ac:dyDescent="0.25">
      <c r="A23" s="4" t="s">
        <v>44</v>
      </c>
      <c r="B23" s="5">
        <v>0.81333333333333335</v>
      </c>
      <c r="C23" s="4" t="s">
        <v>40</v>
      </c>
      <c r="D23" s="5">
        <v>0.70666666666666667</v>
      </c>
      <c r="E23" s="4" t="s">
        <v>24</v>
      </c>
      <c r="F23">
        <v>54</v>
      </c>
      <c r="G23">
        <v>36</v>
      </c>
      <c r="H23">
        <v>2</v>
      </c>
      <c r="I23">
        <v>92</v>
      </c>
    </row>
    <row r="24" spans="1:15" x14ac:dyDescent="0.25">
      <c r="A24" s="4" t="s">
        <v>45</v>
      </c>
      <c r="B24" s="5">
        <v>0.81</v>
      </c>
      <c r="C24" s="4" t="s">
        <v>38</v>
      </c>
      <c r="D24" s="5">
        <v>0.69</v>
      </c>
      <c r="E24" s="4" t="s">
        <v>15</v>
      </c>
      <c r="F24">
        <v>42</v>
      </c>
      <c r="G24">
        <v>28</v>
      </c>
      <c r="H24">
        <v>2</v>
      </c>
      <c r="I24">
        <v>72</v>
      </c>
    </row>
    <row r="25" spans="1:15" x14ac:dyDescent="0.25">
      <c r="A25" s="4" t="s">
        <v>38</v>
      </c>
      <c r="B25" s="5">
        <v>0.80999999999999994</v>
      </c>
      <c r="C25" s="4" t="s">
        <v>65</v>
      </c>
      <c r="D25" s="5">
        <v>0.68333333333333324</v>
      </c>
      <c r="E25" s="4" t="s">
        <v>21</v>
      </c>
      <c r="F25">
        <v>24</v>
      </c>
      <c r="G25">
        <v>8</v>
      </c>
      <c r="H25">
        <v>4</v>
      </c>
      <c r="I25">
        <v>36</v>
      </c>
    </row>
    <row r="26" spans="1:15" x14ac:dyDescent="0.25">
      <c r="A26" s="4" t="s">
        <v>40</v>
      </c>
      <c r="B26" s="5">
        <v>0.80999999999999994</v>
      </c>
      <c r="C26" s="4" t="s">
        <v>64</v>
      </c>
      <c r="D26" s="5">
        <v>0.67</v>
      </c>
      <c r="E26" s="4" t="s">
        <v>78</v>
      </c>
      <c r="F26">
        <v>120</v>
      </c>
      <c r="G26">
        <v>72</v>
      </c>
      <c r="H26">
        <v>8</v>
      </c>
      <c r="I26">
        <v>200</v>
      </c>
    </row>
    <row r="27" spans="1:15" x14ac:dyDescent="0.25">
      <c r="A27" s="4" t="s">
        <v>29</v>
      </c>
      <c r="B27" s="5">
        <v>0.80666666666666664</v>
      </c>
      <c r="C27" s="4" t="s">
        <v>72</v>
      </c>
      <c r="D27" s="5">
        <v>0.66666666666666663</v>
      </c>
    </row>
    <row r="28" spans="1:15" x14ac:dyDescent="0.25">
      <c r="A28" s="4" t="s">
        <v>26</v>
      </c>
      <c r="B28" s="5">
        <v>0.80499999999999994</v>
      </c>
      <c r="C28" s="4" t="s">
        <v>36</v>
      </c>
      <c r="D28" s="5">
        <v>0.66333333333333322</v>
      </c>
    </row>
    <row r="29" spans="1:15" x14ac:dyDescent="0.25">
      <c r="A29" s="4" t="s">
        <v>23</v>
      </c>
      <c r="B29" s="5">
        <v>0.80499999999999994</v>
      </c>
      <c r="C29" s="4" t="s">
        <v>22</v>
      </c>
      <c r="D29" s="5">
        <v>0.66</v>
      </c>
    </row>
    <row r="30" spans="1:15" x14ac:dyDescent="0.25">
      <c r="A30" s="4" t="s">
        <v>42</v>
      </c>
      <c r="B30" s="5">
        <v>0.80333333333333334</v>
      </c>
      <c r="C30" s="4" t="s">
        <v>46</v>
      </c>
      <c r="D30" s="5">
        <v>0.64999999999999991</v>
      </c>
    </row>
    <row r="31" spans="1:15" x14ac:dyDescent="0.25">
      <c r="A31" s="4" t="s">
        <v>41</v>
      </c>
      <c r="B31" s="5">
        <v>0.80333333333333323</v>
      </c>
      <c r="C31" s="4" t="s">
        <v>28</v>
      </c>
      <c r="D31" s="5">
        <v>0.6133333333333334</v>
      </c>
    </row>
    <row r="32" spans="1:15" x14ac:dyDescent="0.25">
      <c r="A32" s="4" t="s">
        <v>66</v>
      </c>
      <c r="B32" s="5">
        <v>0.8</v>
      </c>
      <c r="C32" s="4" t="s">
        <v>41</v>
      </c>
      <c r="D32" s="5">
        <v>0.61</v>
      </c>
    </row>
    <row r="33" spans="1:4" x14ac:dyDescent="0.25">
      <c r="A33" s="4" t="s">
        <v>48</v>
      </c>
      <c r="B33" s="5">
        <v>0.79749999999999999</v>
      </c>
      <c r="C33" s="4" t="s">
        <v>23</v>
      </c>
      <c r="D33" s="5">
        <v>0.59499999999999997</v>
      </c>
    </row>
    <row r="34" spans="1:4" x14ac:dyDescent="0.25">
      <c r="A34" s="4" t="s">
        <v>49</v>
      </c>
      <c r="B34" s="5">
        <v>0.79666666666666652</v>
      </c>
      <c r="C34" s="4" t="s">
        <v>12</v>
      </c>
      <c r="D34" s="5">
        <v>0.56666666666666665</v>
      </c>
    </row>
    <row r="35" spans="1:4" x14ac:dyDescent="0.25">
      <c r="A35" s="4" t="s">
        <v>65</v>
      </c>
      <c r="B35" s="5">
        <v>0.79333333333333333</v>
      </c>
      <c r="C35" s="4" t="s">
        <v>25</v>
      </c>
      <c r="D35" s="5">
        <v>0.56499999999999995</v>
      </c>
    </row>
    <row r="36" spans="1:4" x14ac:dyDescent="0.25">
      <c r="A36" s="4" t="s">
        <v>54</v>
      </c>
      <c r="B36" s="5">
        <v>0.78666666666666663</v>
      </c>
      <c r="C36" s="4" t="s">
        <v>26</v>
      </c>
      <c r="D36" s="5">
        <v>0.56000000000000005</v>
      </c>
    </row>
    <row r="37" spans="1:4" x14ac:dyDescent="0.25">
      <c r="A37" s="4" t="s">
        <v>56</v>
      </c>
      <c r="B37" s="5">
        <v>0.78333333333333333</v>
      </c>
      <c r="C37" s="4" t="s">
        <v>47</v>
      </c>
      <c r="D37" s="5">
        <v>0.55499999999999994</v>
      </c>
    </row>
    <row r="38" spans="1:4" x14ac:dyDescent="0.25">
      <c r="A38" s="4" t="s">
        <v>12</v>
      </c>
      <c r="B38" s="5">
        <v>0.78333333333333333</v>
      </c>
      <c r="C38" s="4" t="s">
        <v>34</v>
      </c>
      <c r="D38" s="5">
        <v>0.55000000000000004</v>
      </c>
    </row>
    <row r="39" spans="1:4" x14ac:dyDescent="0.25">
      <c r="A39" s="4" t="s">
        <v>34</v>
      </c>
      <c r="B39" s="5">
        <v>0.76</v>
      </c>
      <c r="C39" s="4" t="s">
        <v>32</v>
      </c>
      <c r="D39" s="5">
        <v>0.5099999999999999</v>
      </c>
    </row>
    <row r="40" spans="1:4" x14ac:dyDescent="0.25">
      <c r="A40" s="4" t="s">
        <v>78</v>
      </c>
      <c r="B40" s="5">
        <v>0.81830000000000058</v>
      </c>
      <c r="C40" s="4" t="s">
        <v>78</v>
      </c>
      <c r="D40" s="5">
        <v>0.71210000000000084</v>
      </c>
    </row>
  </sheetData>
  <conditionalFormatting pivot="1" sqref="B2:B39">
    <cfRule type="dataBar" priority="4">
      <dataBar>
        <cfvo type="min"/>
        <cfvo type="max"/>
        <color rgb="FF638EC6"/>
      </dataBar>
      <extLst>
        <ext xmlns:x14="http://schemas.microsoft.com/office/spreadsheetml/2009/9/main" uri="{B025F937-C7B1-47D3-B67F-A62EFF666E3E}">
          <x14:id>{14B582D2-6CD6-41A9-85D7-E81C8778F728}</x14:id>
        </ext>
      </extLst>
    </cfRule>
  </conditionalFormatting>
  <conditionalFormatting pivot="1" sqref="D2:D39">
    <cfRule type="dataBar" priority="3">
      <dataBar>
        <cfvo type="min"/>
        <cfvo type="max"/>
        <color rgb="FF638EC6"/>
      </dataBar>
      <extLst>
        <ext xmlns:x14="http://schemas.microsoft.com/office/spreadsheetml/2009/9/main" uri="{B025F937-C7B1-47D3-B67F-A62EFF666E3E}">
          <x14:id>{0F039397-92DE-4CF3-87C4-F2CA2B533F8B}</x14:id>
        </ext>
      </extLst>
    </cfRule>
  </conditionalFormatting>
  <conditionalFormatting pivot="1" sqref="F2:F4">
    <cfRule type="dataBar" priority="2">
      <dataBar>
        <cfvo type="min"/>
        <cfvo type="max"/>
        <color rgb="FF638EC6"/>
      </dataBar>
      <extLst>
        <ext xmlns:x14="http://schemas.microsoft.com/office/spreadsheetml/2009/9/main" uri="{B025F937-C7B1-47D3-B67F-A62EFF666E3E}">
          <x14:id>{0F43576C-4901-41F7-A205-9AFB86B4650D}</x14:id>
        </ext>
      </extLst>
    </cfRule>
  </conditionalFormatting>
  <pageMargins left="0.7" right="0.7" top="0.75" bottom="0.75" header="0.3" footer="0.3"/>
  <pageSetup orientation="portrait" r:id="rId12"/>
  <extLst>
    <ext xmlns:x14="http://schemas.microsoft.com/office/spreadsheetml/2009/9/main" uri="{78C0D931-6437-407d-A8EE-F0AAD7539E65}">
      <x14:conditionalFormattings>
        <x14:conditionalFormatting xmlns:xm="http://schemas.microsoft.com/office/excel/2006/main" pivot="1">
          <x14:cfRule type="dataBar" id="{14B582D2-6CD6-41A9-85D7-E81C8778F728}">
            <x14:dataBar minLength="0" maxLength="100" border="1" negativeBarBorderColorSameAsPositive="0">
              <x14:cfvo type="autoMin"/>
              <x14:cfvo type="autoMax"/>
              <x14:borderColor rgb="FF638EC6"/>
              <x14:negativeFillColor rgb="FFFF0000"/>
              <x14:negativeBorderColor rgb="FFFF0000"/>
              <x14:axisColor rgb="FF000000"/>
            </x14:dataBar>
          </x14:cfRule>
          <xm:sqref>B2:B39</xm:sqref>
        </x14:conditionalFormatting>
        <x14:conditionalFormatting xmlns:xm="http://schemas.microsoft.com/office/excel/2006/main" pivot="1">
          <x14:cfRule type="dataBar" id="{0F039397-92DE-4CF3-87C4-F2CA2B533F8B}">
            <x14:dataBar minLength="0" maxLength="100" border="1" negativeBarBorderColorSameAsPositive="0">
              <x14:cfvo type="autoMin"/>
              <x14:cfvo type="autoMax"/>
              <x14:borderColor rgb="FF638EC6"/>
              <x14:negativeFillColor rgb="FFFF0000"/>
              <x14:negativeBorderColor rgb="FFFF0000"/>
              <x14:axisColor rgb="FF000000"/>
            </x14:dataBar>
          </x14:cfRule>
          <xm:sqref>D2:D39</xm:sqref>
        </x14:conditionalFormatting>
        <x14:conditionalFormatting xmlns:xm="http://schemas.microsoft.com/office/excel/2006/main" pivot="1">
          <x14:cfRule type="dataBar" id="{0F43576C-4901-41F7-A205-9AFB86B4650D}">
            <x14:dataBar minLength="0" maxLength="100" gradient="0">
              <x14:cfvo type="autoMin"/>
              <x14:cfvo type="autoMax"/>
              <x14:negativeFillColor rgb="FFFF0000"/>
              <x14:axisColor rgb="FF000000"/>
            </x14:dataBar>
          </x14:cfRule>
          <xm:sqref>F2:F4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3E3DE-637D-487F-880D-0E6CBD8EB314}">
  <dimension ref="J19:AD40"/>
  <sheetViews>
    <sheetView showGridLines="0" showRowColHeaders="0" tabSelected="1" zoomScale="85" zoomScaleNormal="85" workbookViewId="0">
      <selection activeCell="AD40" sqref="AD40"/>
    </sheetView>
  </sheetViews>
  <sheetFormatPr defaultRowHeight="15" x14ac:dyDescent="0.25"/>
  <cols>
    <col min="1" max="16384" width="9.140625" style="11"/>
  </cols>
  <sheetData>
    <row r="19" spans="10:11" x14ac:dyDescent="0.25">
      <c r="J19" s="10"/>
    </row>
    <row r="25" spans="10:11" x14ac:dyDescent="0.25">
      <c r="K25" s="10"/>
    </row>
    <row r="40" spans="30:30" x14ac:dyDescent="0.25">
      <c r="AD40" s="11" t="s">
        <v>112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E48D1527EE70F4C8276DA04A26B0CE1" ma:contentTypeVersion="15" ma:contentTypeDescription="Create a new document." ma:contentTypeScope="" ma:versionID="3d6f697f3ed2c6f60198c8529d8e57c6">
  <xsd:schema xmlns:xsd="http://www.w3.org/2001/XMLSchema" xmlns:xs="http://www.w3.org/2001/XMLSchema" xmlns:p="http://schemas.microsoft.com/office/2006/metadata/properties" xmlns:ns3="dc30e6ab-ca8f-4a0c-8dea-cf7611d73783" xmlns:ns4="a6c71502-b81e-4bf6-be23-abcb8c5a2a2e" targetNamespace="http://schemas.microsoft.com/office/2006/metadata/properties" ma:root="true" ma:fieldsID="368bc05389ad6259b9f2392f9910b61d" ns3:_="" ns4:_="">
    <xsd:import namespace="dc30e6ab-ca8f-4a0c-8dea-cf7611d73783"/>
    <xsd:import namespace="a6c71502-b81e-4bf6-be23-abcb8c5a2a2e"/>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LengthInSecond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30e6ab-ca8f-4a0c-8dea-cf7611d73783"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c71502-b81e-4bf6-be23-abcb8c5a2a2e"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dc30e6ab-ca8f-4a0c-8dea-cf7611d7378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D9CAAAD2-7E74-4B0A-B89F-BD9E23D611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30e6ab-ca8f-4a0c-8dea-cf7611d73783"/>
    <ds:schemaRef ds:uri="a6c71502-b81e-4bf6-be23-abcb8c5a2a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E7D9B9-D427-4562-8991-822E4FC479A5}">
  <ds:schemaRefs>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purl.org/dc/dcmitype/"/>
    <ds:schemaRef ds:uri="http://schemas.microsoft.com/office/2006/metadata/properties"/>
    <ds:schemaRef ds:uri="http://www.w3.org/XML/1998/namespace"/>
    <ds:schemaRef ds:uri="a6c71502-b81e-4bf6-be23-abcb8c5a2a2e"/>
    <ds:schemaRef ds:uri="dc30e6ab-ca8f-4a0c-8dea-cf7611d73783"/>
    <ds:schemaRef ds:uri="http://purl.org/dc/terms/"/>
  </ds:schemaRefs>
</ds:datastoreItem>
</file>

<file path=customXml/itemProps3.xml><?xml version="1.0" encoding="utf-8"?>
<ds:datastoreItem xmlns:ds="http://schemas.openxmlformats.org/officeDocument/2006/customXml" ds:itemID="{06025A69-C7D8-47A0-BD77-8A3BB42918E1}">
  <ds:schemaRefs>
    <ds:schemaRef ds:uri="http://schemas.microsoft.com/sharepoint/v3/contenttype/forms"/>
  </ds:schemaRefs>
</ds:datastoreItem>
</file>

<file path=customXml/itemProps4.xml><?xml version="1.0" encoding="utf-8"?>
<ds:datastoreItem xmlns:ds="http://schemas.openxmlformats.org/officeDocument/2006/customXml" ds:itemID="{01197208-951F-4A25-91A5-40B7DF09CD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 Dep</vt:lpstr>
      <vt:lpstr>Steps</vt:lpstr>
      <vt:lpstr>Report</vt:lpstr>
      <vt:lpstr>Dash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Assem Hasanen</cp:lastModifiedBy>
  <dcterms:created xsi:type="dcterms:W3CDTF">2024-05-05T07:55:23Z</dcterms:created>
  <dcterms:modified xsi:type="dcterms:W3CDTF">2026-04-16T22:38:43Z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0x0101005E48D1527EE70F4C8276DA04A26B0CE1</vt:lpwstr>
  </property>
</Properties>
</file>